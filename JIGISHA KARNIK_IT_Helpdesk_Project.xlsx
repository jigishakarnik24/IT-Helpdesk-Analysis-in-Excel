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e82d8084f91a16b1/Documents/Jigisha's Data Science/Excel/Excel Projects/"/>
    </mc:Choice>
  </mc:AlternateContent>
  <xr:revisionPtr revIDLastSave="385" documentId="8_{005B636E-D7B1-4D82-BDFC-0D828728F9B4}" xr6:coauthVersionLast="47" xr6:coauthVersionMax="47" xr10:uidLastSave="{40408505-1BD4-40FC-84E9-813B8B645940}"/>
  <bookViews>
    <workbookView xWindow="-110" yWindow="-110" windowWidth="19420" windowHeight="10300" tabRatio="686" xr2:uid="{00000000-000D-0000-FFFF-FFFF00000000}"/>
  </bookViews>
  <sheets>
    <sheet name="DASHBOARD" sheetId="10" r:id="rId1"/>
    <sheet name="Department Pivot" sheetId="2" r:id="rId2"/>
    <sheet name="Priority Pivot" sheetId="4" r:id="rId3"/>
    <sheet name="Agent Pivot" sheetId="5" r:id="rId4"/>
    <sheet name="Trends Pivot" sheetId="8" r:id="rId5"/>
    <sheet name="SLA Pivot" sheetId="9" r:id="rId6"/>
    <sheet name="Data" sheetId="1" r:id="rId7"/>
  </sheets>
  <definedNames>
    <definedName name="Slicer_Assigned_Agent">#N/A</definedName>
    <definedName name="Slicer_Department">#N/A</definedName>
    <definedName name="Slicer_Priorit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7" i="1" l="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3" i="1"/>
  <c r="M4" i="1"/>
  <c r="M5" i="1"/>
  <c r="M6" i="1"/>
  <c r="M7" i="1"/>
  <c r="M8" i="1"/>
  <c r="M9" i="1"/>
  <c r="M10" i="1"/>
  <c r="M11" i="1"/>
  <c r="M12" i="1"/>
  <c r="M13" i="1"/>
  <c r="M14" i="1"/>
  <c r="M15" i="1"/>
  <c r="M16" i="1"/>
  <c r="M2" i="1"/>
  <c r="F2" i="1"/>
  <c r="C3" i="9"/>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C2" i="9" l="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alcChain>
</file>

<file path=xl/sharedStrings.xml><?xml version="1.0" encoding="utf-8"?>
<sst xmlns="http://schemas.openxmlformats.org/spreadsheetml/2006/main" count="676" uniqueCount="151">
  <si>
    <t>Ticket ID</t>
  </si>
  <si>
    <t>Date Raised</t>
  </si>
  <si>
    <t>Department</t>
  </si>
  <si>
    <t>Issue Type</t>
  </si>
  <si>
    <t>Priority</t>
  </si>
  <si>
    <t>Assigned Agent</t>
  </si>
  <si>
    <t>Status</t>
  </si>
  <si>
    <t>Resolution Time (hrs)</t>
  </si>
  <si>
    <t>SLA Breached</t>
  </si>
  <si>
    <t>Customer Satisfaction</t>
  </si>
  <si>
    <t>TKT001</t>
  </si>
  <si>
    <t>TKT002</t>
  </si>
  <si>
    <t>TKT003</t>
  </si>
  <si>
    <t>TKT004</t>
  </si>
  <si>
    <t>TKT005</t>
  </si>
  <si>
    <t>TKT006</t>
  </si>
  <si>
    <t>TKT007</t>
  </si>
  <si>
    <t>TKT008</t>
  </si>
  <si>
    <t>TKT009</t>
  </si>
  <si>
    <t>TKT010</t>
  </si>
  <si>
    <t>TKT011</t>
  </si>
  <si>
    <t>TKT012</t>
  </si>
  <si>
    <t>TKT013</t>
  </si>
  <si>
    <t>TKT014</t>
  </si>
  <si>
    <t>TKT015</t>
  </si>
  <si>
    <t>TKT016</t>
  </si>
  <si>
    <t>TKT017</t>
  </si>
  <si>
    <t>TKT018</t>
  </si>
  <si>
    <t>TKT019</t>
  </si>
  <si>
    <t>TKT020</t>
  </si>
  <si>
    <t>TKT021</t>
  </si>
  <si>
    <t>TKT022</t>
  </si>
  <si>
    <t>TKT023</t>
  </si>
  <si>
    <t>TKT024</t>
  </si>
  <si>
    <t>TKT025</t>
  </si>
  <si>
    <t>TKT026</t>
  </si>
  <si>
    <t>TKT027</t>
  </si>
  <si>
    <t>TKT028</t>
  </si>
  <si>
    <t>TKT029</t>
  </si>
  <si>
    <t>TKT030</t>
  </si>
  <si>
    <t>TKT031</t>
  </si>
  <si>
    <t>TKT032</t>
  </si>
  <si>
    <t>TKT033</t>
  </si>
  <si>
    <t>TKT034</t>
  </si>
  <si>
    <t>TKT035</t>
  </si>
  <si>
    <t>TKT036</t>
  </si>
  <si>
    <t>TKT037</t>
  </si>
  <si>
    <t>TKT038</t>
  </si>
  <si>
    <t>TKT039</t>
  </si>
  <si>
    <t>TKT040</t>
  </si>
  <si>
    <t>TKT041</t>
  </si>
  <si>
    <t>TKT042</t>
  </si>
  <si>
    <t>TKT043</t>
  </si>
  <si>
    <t>TKT044</t>
  </si>
  <si>
    <t>TKT045</t>
  </si>
  <si>
    <t>TKT046</t>
  </si>
  <si>
    <t>TKT047</t>
  </si>
  <si>
    <t>TKT048</t>
  </si>
  <si>
    <t>TKT049</t>
  </si>
  <si>
    <t>TKT050</t>
  </si>
  <si>
    <t>TKT051</t>
  </si>
  <si>
    <t>TKT052</t>
  </si>
  <si>
    <t>TKT053</t>
  </si>
  <si>
    <t>TKT054</t>
  </si>
  <si>
    <t>TKT055</t>
  </si>
  <si>
    <t>TKT056</t>
  </si>
  <si>
    <t>TKT057</t>
  </si>
  <si>
    <t>TKT058</t>
  </si>
  <si>
    <t>TKT059</t>
  </si>
  <si>
    <t>TKT060</t>
  </si>
  <si>
    <t>TKT061</t>
  </si>
  <si>
    <t>TKT062</t>
  </si>
  <si>
    <t>TKT063</t>
  </si>
  <si>
    <t>TKT064</t>
  </si>
  <si>
    <t>TKT065</t>
  </si>
  <si>
    <t>TKT066</t>
  </si>
  <si>
    <t>TKT067</t>
  </si>
  <si>
    <t>TKT068</t>
  </si>
  <si>
    <t>TKT069</t>
  </si>
  <si>
    <t>TKT070</t>
  </si>
  <si>
    <t>TKT071</t>
  </si>
  <si>
    <t>TKT072</t>
  </si>
  <si>
    <t>TKT073</t>
  </si>
  <si>
    <t>TKT074</t>
  </si>
  <si>
    <t>TKT075</t>
  </si>
  <si>
    <t>TKT076</t>
  </si>
  <si>
    <t>TKT077</t>
  </si>
  <si>
    <t>TKT078</t>
  </si>
  <si>
    <t>TKT079</t>
  </si>
  <si>
    <t>TKT080</t>
  </si>
  <si>
    <t>TKT081</t>
  </si>
  <si>
    <t>TKT082</t>
  </si>
  <si>
    <t>TKT083</t>
  </si>
  <si>
    <t>TKT084</t>
  </si>
  <si>
    <t>TKT085</t>
  </si>
  <si>
    <t>TKT086</t>
  </si>
  <si>
    <t>TKT087</t>
  </si>
  <si>
    <t>TKT088</t>
  </si>
  <si>
    <t>TKT089</t>
  </si>
  <si>
    <t>TKT090</t>
  </si>
  <si>
    <t>TKT091</t>
  </si>
  <si>
    <t>TKT092</t>
  </si>
  <si>
    <t>TKT093</t>
  </si>
  <si>
    <t>TKT094</t>
  </si>
  <si>
    <t>TKT095</t>
  </si>
  <si>
    <t>TKT096</t>
  </si>
  <si>
    <t>TKT097</t>
  </si>
  <si>
    <t>TKT098</t>
  </si>
  <si>
    <t>TKT099</t>
  </si>
  <si>
    <t>TKT100</t>
  </si>
  <si>
    <t>Finance</t>
  </si>
  <si>
    <t>HR</t>
  </si>
  <si>
    <t>Operations</t>
  </si>
  <si>
    <t>IT</t>
  </si>
  <si>
    <t>Sales</t>
  </si>
  <si>
    <t>Admin</t>
  </si>
  <si>
    <t>Network Down</t>
  </si>
  <si>
    <t>Login Issue</t>
  </si>
  <si>
    <t>Email Issue</t>
  </si>
  <si>
    <t>Software Bug</t>
  </si>
  <si>
    <t>Hardware Fault</t>
  </si>
  <si>
    <t>Medium</t>
  </si>
  <si>
    <t>Low</t>
  </si>
  <si>
    <t>High</t>
  </si>
  <si>
    <t>Ramesh</t>
  </si>
  <si>
    <t>Karan</t>
  </si>
  <si>
    <t>Sneha</t>
  </si>
  <si>
    <t>Amit</t>
  </si>
  <si>
    <t>Neha</t>
  </si>
  <si>
    <t>Priya</t>
  </si>
  <si>
    <t>In Progress</t>
  </si>
  <si>
    <t>Closed</t>
  </si>
  <si>
    <t>Open</t>
  </si>
  <si>
    <t>Yes</t>
  </si>
  <si>
    <t>Row Labels</t>
  </si>
  <si>
    <t>Grand Total</t>
  </si>
  <si>
    <t>Count of Ticket ID</t>
  </si>
  <si>
    <t>Total Tickets</t>
  </si>
  <si>
    <t>Average of Resolution Time (hrs)</t>
  </si>
  <si>
    <t>Months</t>
  </si>
  <si>
    <t>Apr-2025</t>
  </si>
  <si>
    <t>Feb-2025</t>
  </si>
  <si>
    <t>Jan-2025</t>
  </si>
  <si>
    <t>Jun-2025</t>
  </si>
  <si>
    <t>Mar-2025</t>
  </si>
  <si>
    <t>May-2025</t>
  </si>
  <si>
    <t>Ticket's Count</t>
  </si>
  <si>
    <t>% SLA Breached</t>
  </si>
  <si>
    <t xml:space="preserve">No </t>
  </si>
  <si>
    <t>-</t>
  </si>
  <si>
    <t>Assigned 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</si>
</sst>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6"/>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4" fontId="0" fillId="0" borderId="0" xfId="0" applyNumberFormat="1"/>
    <xf numFmtId="14"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9" fontId="0" fillId="0" borderId="0" xfId="1" applyFont="1"/>
    <xf numFmtId="2" fontId="0" fillId="0" borderId="0" xfId="0" applyNumberFormat="1"/>
    <xf numFmtId="1" fontId="0" fillId="0" borderId="0" xfId="0" applyNumberFormat="1" applyAlignment="1">
      <alignment horizontal="right"/>
    </xf>
    <xf numFmtId="0" fontId="3" fillId="2" borderId="0" xfId="0" applyFont="1" applyFill="1"/>
    <xf numFmtId="0" fontId="0" fillId="3" borderId="0" xfId="0" applyFill="1"/>
  </cellXfs>
  <cellStyles count="2">
    <cellStyle name="Normal" xfId="0" builtinId="0"/>
    <cellStyle name="Percent" xfId="1" builtinId="5"/>
  </cellStyles>
  <dxfs count="9">
    <dxf>
      <numFmt numFmtId="19" formatCode="dd/mm/yyyy"/>
    </dxf>
    <dxf>
      <numFmt numFmtId="1" formatCode="0"/>
      <alignment horizontal="right" vertical="bottom" textRotation="0" wrapText="0" indent="0" justifyLastLine="0" shrinkToFit="0" readingOrder="0"/>
    </dxf>
    <dxf>
      <numFmt numFmtId="0" formatCode="General"/>
    </dxf>
    <dxf>
      <numFmt numFmtId="1" formatCode="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[JIGISHA KARNIK_IT_Helpdesk_Project.xlsx]SLA Pivot!PivotTable6</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SLA</a:t>
            </a:r>
            <a:r>
              <a:rPr lang="en-US" b="1" i="1" u="sng" baseline="0"/>
              <a:t> Compliance Overview</a:t>
            </a: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alpha val="43000"/>
                      </a:schemeClr>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alpha val="43000"/>
                      </a:schemeClr>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alpha val="43000"/>
                      </a:schemeClr>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pivotFmt>
      <c:pivotFmt>
        <c:idx val="8"/>
        <c:spPr>
          <a:solidFill>
            <a:schemeClr val="accent5">
              <a:tint val="77000"/>
            </a:schemeClr>
          </a:solidFill>
          <a:ln w="19050">
            <a:solidFill>
              <a:schemeClr val="lt1"/>
            </a:solidFill>
          </a:ln>
          <a:effectLst/>
        </c:spPr>
      </c:pivotFmt>
      <c:pivotFmt>
        <c:idx val="9"/>
        <c:spPr>
          <a:solidFill>
            <a:schemeClr val="accent5">
              <a:shade val="76000"/>
            </a:schemeClr>
          </a:solidFill>
          <a:ln w="19050">
            <a:solidFill>
              <a:schemeClr val="lt1"/>
            </a:solidFill>
          </a:ln>
          <a:effectLst/>
        </c:spPr>
      </c:pivotFmt>
    </c:pivotFmts>
    <c:plotArea>
      <c:layout>
        <c:manualLayout>
          <c:layoutTarget val="inner"/>
          <c:xMode val="edge"/>
          <c:yMode val="edge"/>
          <c:x val="9.5564639694268122E-2"/>
          <c:y val="0.25083212598425197"/>
          <c:w val="0.74844229369901261"/>
          <c:h val="0.54355509561304838"/>
        </c:manualLayout>
      </c:layout>
      <c:doughnutChart>
        <c:varyColors val="1"/>
        <c:ser>
          <c:idx val="0"/>
          <c:order val="0"/>
          <c:tx>
            <c:strRef>
              <c:f>'SLA Pivot'!$B$1</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93A2-4A34-853D-7AD1C2475975}"/>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93A2-4A34-853D-7AD1C2475975}"/>
              </c:ext>
            </c:extLst>
          </c:dPt>
          <c:dLbls>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alpha val="43000"/>
                        </a:schemeClr>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'SLA Pivot'!$A$2:$A$4</c:f>
              <c:strCache>
                <c:ptCount val="2"/>
                <c:pt idx="0">
                  <c:v>No </c:v>
                </c:pt>
                <c:pt idx="1">
                  <c:v>Yes</c:v>
                </c:pt>
              </c:strCache>
            </c:strRef>
          </c:cat>
          <c:val>
            <c:numRef>
              <c:f>'SLA Pivot'!$B$2:$B$4</c:f>
              <c:numCache>
                <c:formatCode>General</c:formatCode>
                <c:ptCount val="2"/>
                <c:pt idx="0">
                  <c:v>49</c:v>
                </c:pt>
                <c:pt idx="1">
                  <c:v>51</c:v>
                </c:pt>
              </c:numCache>
            </c:numRef>
          </c:val>
          <c:extLst>
            <c:ext xmlns:c16="http://schemas.microsoft.com/office/drawing/2014/chart" uri="{C3380CC4-5D6E-409C-BE32-E72D297353CC}">
              <c16:uniqueId val="{00000004-93A2-4A34-853D-7AD1C2475975}"/>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[JIGISHA KARNIK_IT_Helpdesk_Project.xlsx]Agent Pivot!PivotTable3</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i="1" u="sng"/>
              <a:t>Avg Resolution Time by Agent</a:t>
            </a:r>
            <a:endParaRPr lang="en-US" i="1" u="sng"/>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80034302642865"/>
          <c:y val="0.26576122449127182"/>
          <c:w val="0.65108629278483043"/>
          <c:h val="0.52379850337705658"/>
        </c:manualLayout>
      </c:layout>
      <c:barChart>
        <c:barDir val="bar"/>
        <c:grouping val="clustered"/>
        <c:varyColors val="0"/>
        <c:ser>
          <c:idx val="0"/>
          <c:order val="0"/>
          <c:tx>
            <c:strRef>
              <c:f>'Agent Pivot'!$B$3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'Agent Pivot'!$A$4:$A$10</c:f>
              <c:strCache>
                <c:ptCount val="6"/>
                <c:pt idx="0">
                  <c:v>Amit</c:v>
                </c:pt>
                <c:pt idx="1">
                  <c:v>Karan</c:v>
                </c:pt>
                <c:pt idx="2">
                  <c:v>Neha</c:v>
                </c:pt>
                <c:pt idx="3">
                  <c:v>Priya</c:v>
                </c:pt>
                <c:pt idx="4">
                  <c:v>Ramesh</c:v>
                </c:pt>
                <c:pt idx="5">
                  <c:v>Sneha</c:v>
                </c:pt>
              </c:strCache>
            </c:strRef>
          </c:cat>
          <c:val>
            <c:numRef>
              <c:f>'Agent Pivot'!$B$4:$B$10</c:f>
              <c:numCache>
                <c:formatCode>0.00</c:formatCode>
                <c:ptCount val="6"/>
                <c:pt idx="0">
                  <c:v>26.923076923076923</c:v>
                </c:pt>
                <c:pt idx="1">
                  <c:v>19.739130434782609</c:v>
                </c:pt>
                <c:pt idx="2">
                  <c:v>25.944444444444443</c:v>
                </c:pt>
                <c:pt idx="3">
                  <c:v>22.333333333333332</c:v>
                </c:pt>
                <c:pt idx="4">
                  <c:v>23</c:v>
                </c:pt>
                <c:pt idx="5">
                  <c:v>21</c:v>
                </c:pt>
              </c:numCache>
            </c:numRef>
          </c:val>
          <c:extLst>
            <c:ext xmlns:c16="http://schemas.microsoft.com/office/drawing/2014/chart" uri="{C3380CC4-5D6E-409C-BE32-E72D297353CC}">
              <c16:uniqueId val="{00000000-96A1-499E-81EB-3DA88BE637EA}"/>
            </c:ext>
          </c:extLst>
        </c:ser>
        <c:dLbls>
          <c:dLblPos val="inEnd"/>
          <c:showLegendKey val="0"/>
          <c:showVal val="1"/>
          <c:showCatName val="0"/>
          <c:showSerName val="0"/>
          <c:showPercent val="0"/>
          <c:showBubbleSize val="0"/>
        </c:dLbls>
        <c:gapWidth val="65"/>
        <c:axId val="157405951"/>
        <c:axId val="157406911"/>
      </c:barChart>
      <c:catAx>
        <c:axId val="1574059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406911"/>
        <c:crosses val="autoZero"/>
        <c:auto val="1"/>
        <c:lblAlgn val="ctr"/>
        <c:lblOffset val="100"/>
        <c:noMultiLvlLbl val="0"/>
      </c:catAx>
      <c:valAx>
        <c:axId val="15740691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740595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[JIGISHA KARNIK_IT_Helpdesk_Project.xlsx]Trends Pivot!PivotTable5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sng" strike="noStrike" baseline="0"/>
              <a:t>Tickets Trend by Month</a:t>
            </a:r>
            <a:endParaRPr lang="en-US" b="1" i="1" u="sng"/>
          </a:p>
        </c:rich>
      </c:tx>
      <c:layout>
        <c:manualLayout>
          <c:xMode val="edge"/>
          <c:yMode val="edge"/>
          <c:x val="0.30396522309711288"/>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square"/>
          <c:size val="8"/>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square"/>
          <c:size val="8"/>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square"/>
          <c:size val="8"/>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46981627296588"/>
          <c:y val="0.28180336832895886"/>
          <c:w val="0.73891863517060363"/>
          <c:h val="0.53311424613589964"/>
        </c:manualLayout>
      </c:layout>
      <c:lineChart>
        <c:grouping val="standard"/>
        <c:varyColors val="0"/>
        <c:ser>
          <c:idx val="0"/>
          <c:order val="0"/>
          <c:tx>
            <c:strRef>
              <c:f>'Trends Pivot'!$B$3</c:f>
              <c:strCache>
                <c:ptCount val="1"/>
                <c:pt idx="0">
                  <c:v>Total</c:v>
                </c:pt>
              </c:strCache>
            </c:strRef>
          </c:tx>
          <c:spPr>
            <a:ln w="28575" cap="rnd">
              <a:solidFill>
                <a:schemeClr val="accent5"/>
              </a:solidFill>
              <a:round/>
            </a:ln>
            <a:effectLst/>
          </c:spPr>
          <c:marker>
            <c:symbol val="square"/>
            <c:size val="8"/>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Pivot'!$A$4:$A$10</c:f>
              <c:strCache>
                <c:ptCount val="6"/>
                <c:pt idx="0">
                  <c:v>Apr-2025</c:v>
                </c:pt>
                <c:pt idx="1">
                  <c:v>Feb-2025</c:v>
                </c:pt>
                <c:pt idx="2">
                  <c:v>Jan-2025</c:v>
                </c:pt>
                <c:pt idx="3">
                  <c:v>Jun-2025</c:v>
                </c:pt>
                <c:pt idx="4">
                  <c:v>Mar-2025</c:v>
                </c:pt>
                <c:pt idx="5">
                  <c:v>May-2025</c:v>
                </c:pt>
              </c:strCache>
            </c:strRef>
          </c:cat>
          <c:val>
            <c:numRef>
              <c:f>'Trends Pivot'!$B$4:$B$10</c:f>
              <c:numCache>
                <c:formatCode>General</c:formatCode>
                <c:ptCount val="6"/>
                <c:pt idx="0">
                  <c:v>14</c:v>
                </c:pt>
                <c:pt idx="1">
                  <c:v>19</c:v>
                </c:pt>
                <c:pt idx="2">
                  <c:v>18</c:v>
                </c:pt>
                <c:pt idx="3">
                  <c:v>14</c:v>
                </c:pt>
                <c:pt idx="4">
                  <c:v>19</c:v>
                </c:pt>
                <c:pt idx="5">
                  <c:v>16</c:v>
                </c:pt>
              </c:numCache>
            </c:numRef>
          </c:val>
          <c:smooth val="0"/>
          <c:extLst>
            <c:ext xmlns:c16="http://schemas.microsoft.com/office/drawing/2014/chart" uri="{C3380CC4-5D6E-409C-BE32-E72D297353CC}">
              <c16:uniqueId val="{00000000-535F-4BFD-8BD4-7C1FE618CA39}"/>
            </c:ext>
          </c:extLst>
        </c:ser>
        <c:dLbls>
          <c:dLblPos val="t"/>
          <c:showLegendKey val="0"/>
          <c:showVal val="1"/>
          <c:showCatName val="0"/>
          <c:showSerName val="0"/>
          <c:showPercent val="0"/>
          <c:showBubbleSize val="0"/>
        </c:dLbls>
        <c:marker val="1"/>
        <c:smooth val="0"/>
        <c:axId val="157398271"/>
        <c:axId val="157399231"/>
      </c:lineChart>
      <c:catAx>
        <c:axId val="15739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99231"/>
        <c:crosses val="autoZero"/>
        <c:auto val="1"/>
        <c:lblAlgn val="ctr"/>
        <c:lblOffset val="100"/>
        <c:noMultiLvlLbl val="0"/>
      </c:catAx>
      <c:valAx>
        <c:axId val="15739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9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[JIGISHA KARNIK_IT_Helpdesk_Project.xlsx]Department Pivot!PivotTable1</c:name>
    <c:fmtId val="45"/>
  </c:pivotSource>
  <c:chart>
    <c:title>
      <c:tx>
        <c:rich>
          <a:bodyPr rot="0" spcFirstLastPara="1" vertOverflow="ellipsis" vert="horz" wrap="square" anchor="ctr" anchorCtr="1"/>
          <a:lstStyle/>
          <a:p>
            <a:pPr>
              <a:defRPr sz="1400" b="0" i="0" u="none" strike="noStrike" kern="1200" spc="0" baseline="0">
                <a:ln w="0">
                  <a:solidFill>
                    <a:schemeClr val="tx1">
                      <a:alpha val="57000"/>
                    </a:schemeClr>
                  </a:solidFill>
                </a:ln>
                <a:solidFill>
                  <a:schemeClr val="tx1">
                    <a:lumMod val="65000"/>
                    <a:lumOff val="35000"/>
                  </a:schemeClr>
                </a:solidFill>
                <a:latin typeface="+mn-lt"/>
                <a:ea typeface="+mn-ea"/>
                <a:cs typeface="+mn-cs"/>
              </a:defRPr>
            </a:pPr>
            <a:r>
              <a:rPr lang="en-US" i="1" u="sng"/>
              <a:t>Tickets by Department</a:t>
            </a:r>
          </a:p>
        </c:rich>
      </c:tx>
      <c:layout>
        <c:manualLayout>
          <c:xMode val="edge"/>
          <c:yMode val="edge"/>
          <c:x val="0.28022459143615508"/>
          <c:y val="0.11593341846509149"/>
        </c:manualLayout>
      </c:layout>
      <c:overlay val="0"/>
      <c:spPr>
        <a:noFill/>
        <a:ln>
          <a:noFill/>
        </a:ln>
        <a:effectLst/>
      </c:spPr>
      <c:txPr>
        <a:bodyPr rot="0" spcFirstLastPara="1" vertOverflow="ellipsis" vert="horz" wrap="square" anchor="ctr" anchorCtr="1"/>
        <a:lstStyle/>
        <a:p>
          <a:pPr>
            <a:defRPr sz="1400" b="0" i="0" u="none" strike="noStrike" kern="1200" spc="0" baseline="0">
              <a:ln w="0">
                <a:solidFill>
                  <a:schemeClr val="tx1">
                    <a:alpha val="57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w="0">
                    <a:solidFill>
                      <a:schemeClr val="tx1">
                        <a:alpha val="57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0">
                    <a:solidFill>
                      <a:schemeClr val="tx1">
                        <a:alpha val="57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0">
                    <a:solidFill>
                      <a:schemeClr val="tx1">
                        <a:alpha val="57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7674720019715"/>
          <c:y val="0.32727258189354641"/>
          <c:w val="0.76148731408573933"/>
          <c:h val="0.49334435112866182"/>
        </c:manualLayout>
      </c:layout>
      <c:barChart>
        <c:barDir val="col"/>
        <c:grouping val="clustered"/>
        <c:varyColors val="0"/>
        <c:ser>
          <c:idx val="0"/>
          <c:order val="0"/>
          <c:tx>
            <c:strRef>
              <c:f>'Department Pivot'!$B$3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w="0">
                      <a:solidFill>
                        <a:schemeClr val="tx1">
                          <a:alpha val="57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Pivot'!$A$4:$A$10</c:f>
              <c:strCache>
                <c:ptCount val="6"/>
                <c:pt idx="0">
                  <c:v>Sales</c:v>
                </c:pt>
                <c:pt idx="1">
                  <c:v>Operations</c:v>
                </c:pt>
                <c:pt idx="2">
                  <c:v>IT</c:v>
                </c:pt>
                <c:pt idx="3">
                  <c:v>HR</c:v>
                </c:pt>
                <c:pt idx="4">
                  <c:v>Finance</c:v>
                </c:pt>
                <c:pt idx="5">
                  <c:v>Admin</c:v>
                </c:pt>
              </c:strCache>
            </c:strRef>
          </c:cat>
          <c:val>
            <c:numRef>
              <c:f>'Department Pivot'!$B$4:$B$10</c:f>
              <c:numCache>
                <c:formatCode>General</c:formatCode>
                <c:ptCount val="6"/>
                <c:pt idx="0">
                  <c:v>19</c:v>
                </c:pt>
                <c:pt idx="1">
                  <c:v>14</c:v>
                </c:pt>
                <c:pt idx="2">
                  <c:v>12</c:v>
                </c:pt>
                <c:pt idx="3">
                  <c:v>20</c:v>
                </c:pt>
                <c:pt idx="4">
                  <c:v>18</c:v>
                </c:pt>
                <c:pt idx="5">
                  <c:v>17</c:v>
                </c:pt>
              </c:numCache>
            </c:numRef>
          </c:val>
          <c:extLst>
            <c:ext xmlns:c16="http://schemas.microsoft.com/office/drawing/2014/chart" uri="{C3380CC4-5D6E-409C-BE32-E72D297353CC}">
              <c16:uniqueId val="{00000000-2DAE-4B0D-816A-1923D87AAEA6}"/>
            </c:ext>
          </c:extLst>
        </c:ser>
        <c:dLbls>
          <c:dLblPos val="outEnd"/>
          <c:showLegendKey val="0"/>
          <c:showVal val="1"/>
          <c:showCatName val="0"/>
          <c:showSerName val="0"/>
          <c:showPercent val="0"/>
          <c:showBubbleSize val="0"/>
        </c:dLbls>
        <c:gapWidth val="219"/>
        <c:overlap val="-24"/>
        <c:axId val="1829182335"/>
        <c:axId val="1829183295"/>
      </c:barChart>
      <c:catAx>
        <c:axId val="182918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a:solidFill>
                    <a:schemeClr val="tx1">
                      <a:alpha val="57000"/>
                    </a:schemeClr>
                  </a:solidFill>
                </a:ln>
                <a:solidFill>
                  <a:schemeClr val="tx1">
                    <a:lumMod val="65000"/>
                    <a:lumOff val="35000"/>
                  </a:schemeClr>
                </a:solidFill>
                <a:latin typeface="+mn-lt"/>
                <a:ea typeface="+mn-ea"/>
                <a:cs typeface="+mn-cs"/>
              </a:defRPr>
            </a:pPr>
            <a:endParaRPr lang="en-US"/>
          </a:p>
        </c:txPr>
        <c:crossAx val="1829183295"/>
        <c:crosses val="autoZero"/>
        <c:auto val="1"/>
        <c:lblAlgn val="ctr"/>
        <c:lblOffset val="100"/>
        <c:noMultiLvlLbl val="0"/>
      </c:catAx>
      <c:valAx>
        <c:axId val="1829183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0">
                  <a:solidFill>
                    <a:schemeClr val="tx1">
                      <a:alpha val="57000"/>
                    </a:schemeClr>
                  </a:solidFill>
                </a:ln>
                <a:solidFill>
                  <a:schemeClr val="tx1">
                    <a:lumMod val="65000"/>
                    <a:lumOff val="35000"/>
                  </a:schemeClr>
                </a:solidFill>
                <a:latin typeface="+mn-lt"/>
                <a:ea typeface="+mn-ea"/>
                <a:cs typeface="+mn-cs"/>
              </a:defRPr>
            </a:pPr>
            <a:endParaRPr lang="en-US"/>
          </a:p>
        </c:txPr>
        <c:crossAx val="182918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0">
                <a:solidFill>
                  <a:schemeClr val="tx1">
                    <a:alpha val="57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ln w="0">
            <a:solidFill>
              <a:schemeClr val="tx1">
                <a:alpha val="57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[JIGISHA KARNIK_IT_Helpdesk_Project.xlsx]Priority Pivot!PivotTable2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Tickets</a:t>
            </a:r>
            <a:r>
              <a:rPr lang="en-US" b="1" i="1" u="sng" baseline="0"/>
              <a:t> by Priority</a:t>
            </a:r>
            <a:endParaRPr lang="en-US" b="1" i="1" u="sng"/>
          </a:p>
        </c:rich>
      </c:tx>
      <c:layout>
        <c:manualLayout>
          <c:xMode val="edge"/>
          <c:yMode val="edge"/>
          <c:x val="0.2965974865724566"/>
          <c:y val="6.2246657037692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65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65000"/>
            </a:schemeClr>
          </a:solidFill>
          <a:ln w="19050">
            <a:solidFill>
              <a:schemeClr val="lt1"/>
            </a:solidFill>
          </a:ln>
          <a:effectLst/>
        </c:spPr>
      </c:pivotFmt>
    </c:pivotFmts>
    <c:plotArea>
      <c:layout>
        <c:manualLayout>
          <c:layoutTarget val="inner"/>
          <c:xMode val="edge"/>
          <c:yMode val="edge"/>
          <c:x val="0.19220681024143504"/>
          <c:y val="0.14544192330988209"/>
          <c:w val="0.61467043854617509"/>
          <c:h val="0.7322701082483033"/>
        </c:manualLayout>
      </c:layout>
      <c:pieChart>
        <c:varyColors val="1"/>
        <c:ser>
          <c:idx val="0"/>
          <c:order val="0"/>
          <c:tx>
            <c:strRef>
              <c:f>'Priority Pivot'!$B$3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35E4-45F9-9FB8-81BE186768C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5E4-45F9-9FB8-81BE186768C5}"/>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35E4-45F9-9FB8-81BE186768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'Priority Pivot'!$A$4:$A$7</c:f>
              <c:strCache>
                <c:ptCount val="3"/>
                <c:pt idx="0">
                  <c:v>Medium</c:v>
                </c:pt>
                <c:pt idx="1">
                  <c:v>Low</c:v>
                </c:pt>
                <c:pt idx="2">
                  <c:v>High</c:v>
                </c:pt>
              </c:strCache>
            </c:strRef>
          </c:cat>
          <c:val>
            <c:numRef>
              <c:f>'Priority Pivot'!$B$4:$B$7</c:f>
              <c:numCache>
                <c:formatCode>General</c:formatCode>
                <c:ptCount val="3"/>
                <c:pt idx="0">
                  <c:v>40</c:v>
                </c:pt>
                <c:pt idx="1">
                  <c:v>35</c:v>
                </c:pt>
                <c:pt idx="2">
                  <c:v>25</c:v>
                </c:pt>
              </c:numCache>
            </c:numRef>
          </c:val>
          <c:extLst>
            <c:ext xmlns:c16="http://schemas.microsoft.com/office/drawing/2014/chart" uri="{C3380CC4-5D6E-409C-BE32-E72D297353CC}">
              <c16:uniqueId val="{00000006-35E4-45F9-9FB8-81BE186768C5}"/>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[JIGISHA KARNIK_IT_Helpdesk_Project.xlsx]Department Pivot!PivotTable1</c:name>
    <c:fmtId val="0"/>
  </c:pivotSource>
  <c:chart>
    <c:title>
      <c:tx>
        <c:rich>
          <a:bodyPr rot="0" spcFirstLastPara="1" vertOverflow="ellipsis" vert="horz" wrap="square" anchor="ctr" anchorCtr="1"/>
          <a:lstStyle/>
          <a:p>
            <a:pPr>
              <a:defRPr sz="1400" b="0" i="0" u="none" strike="noStrike" kern="1200" spc="0" baseline="0">
                <a:ln w="0">
                  <a:solidFill>
                    <a:schemeClr val="tx1">
                      <a:alpha val="57000"/>
                    </a:schemeClr>
                  </a:solidFill>
                </a:ln>
                <a:solidFill>
                  <a:schemeClr val="tx1">
                    <a:lumMod val="65000"/>
                    <a:lumOff val="35000"/>
                  </a:schemeClr>
                </a:solidFill>
                <a:latin typeface="+mn-lt"/>
                <a:ea typeface="+mn-ea"/>
                <a:cs typeface="+mn-cs"/>
              </a:defRPr>
            </a:pPr>
            <a:r>
              <a:rPr lang="en-US" i="1" u="sng"/>
              <a:t>Tickets by Department</a:t>
            </a:r>
          </a:p>
        </c:rich>
      </c:tx>
      <c:overlay val="0"/>
      <c:spPr>
        <a:noFill/>
        <a:ln>
          <a:noFill/>
        </a:ln>
        <a:effectLst/>
      </c:spPr>
      <c:txPr>
        <a:bodyPr rot="0" spcFirstLastPara="1" vertOverflow="ellipsis" vert="horz" wrap="square" anchor="ctr" anchorCtr="1"/>
        <a:lstStyle/>
        <a:p>
          <a:pPr>
            <a:defRPr sz="1400" b="0" i="0" u="none" strike="noStrike" kern="1200" spc="0" baseline="0">
              <a:ln w="0">
                <a:solidFill>
                  <a:schemeClr val="tx1">
                    <a:alpha val="57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0">
                    <a:solidFill>
                      <a:schemeClr val="tx1">
                        <a:alpha val="57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7682719435351"/>
          <c:y val="0.32727269837990741"/>
          <c:w val="0.76148731408573933"/>
          <c:h val="0.49334435112866182"/>
        </c:manualLayout>
      </c:layout>
      <c:barChart>
        <c:barDir val="col"/>
        <c:grouping val="clustered"/>
        <c:varyColors val="0"/>
        <c:ser>
          <c:idx val="0"/>
          <c:order val="0"/>
          <c:tx>
            <c:strRef>
              <c:f>'Department Pivot'!$B$3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w="0">
                      <a:solidFill>
                        <a:schemeClr val="tx1">
                          <a:alpha val="57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Pivot'!$A$4:$A$10</c:f>
              <c:strCache>
                <c:ptCount val="6"/>
                <c:pt idx="0">
                  <c:v>Sales</c:v>
                </c:pt>
                <c:pt idx="1">
                  <c:v>Operations</c:v>
                </c:pt>
                <c:pt idx="2">
                  <c:v>IT</c:v>
                </c:pt>
                <c:pt idx="3">
                  <c:v>HR</c:v>
                </c:pt>
                <c:pt idx="4">
                  <c:v>Finance</c:v>
                </c:pt>
                <c:pt idx="5">
                  <c:v>Admin</c:v>
                </c:pt>
              </c:strCache>
            </c:strRef>
          </c:cat>
          <c:val>
            <c:numRef>
              <c:f>'Department Pivot'!$B$4:$B$10</c:f>
              <c:numCache>
                <c:formatCode>General</c:formatCode>
                <c:ptCount val="6"/>
                <c:pt idx="0">
                  <c:v>19</c:v>
                </c:pt>
                <c:pt idx="1">
                  <c:v>14</c:v>
                </c:pt>
                <c:pt idx="2">
                  <c:v>12</c:v>
                </c:pt>
                <c:pt idx="3">
                  <c:v>20</c:v>
                </c:pt>
                <c:pt idx="4">
                  <c:v>18</c:v>
                </c:pt>
                <c:pt idx="5">
                  <c:v>17</c:v>
                </c:pt>
              </c:numCache>
            </c:numRef>
          </c:val>
          <c:extLst>
            <c:ext xmlns:c16="http://schemas.microsoft.com/office/drawing/2014/chart" uri="{C3380CC4-5D6E-409C-BE32-E72D297353CC}">
              <c16:uniqueId val="{00000000-F639-44D3-B67A-3E976935F74A}"/>
            </c:ext>
          </c:extLst>
        </c:ser>
        <c:dLbls>
          <c:dLblPos val="outEnd"/>
          <c:showLegendKey val="0"/>
          <c:showVal val="1"/>
          <c:showCatName val="0"/>
          <c:showSerName val="0"/>
          <c:showPercent val="0"/>
          <c:showBubbleSize val="0"/>
        </c:dLbls>
        <c:gapWidth val="219"/>
        <c:overlap val="-24"/>
        <c:axId val="1829182335"/>
        <c:axId val="1829183295"/>
      </c:barChart>
      <c:catAx>
        <c:axId val="182918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a:solidFill>
                    <a:schemeClr val="tx1">
                      <a:alpha val="57000"/>
                    </a:schemeClr>
                  </a:solidFill>
                </a:ln>
                <a:solidFill>
                  <a:schemeClr val="tx1">
                    <a:lumMod val="65000"/>
                    <a:lumOff val="35000"/>
                  </a:schemeClr>
                </a:solidFill>
                <a:latin typeface="+mn-lt"/>
                <a:ea typeface="+mn-ea"/>
                <a:cs typeface="+mn-cs"/>
              </a:defRPr>
            </a:pPr>
            <a:endParaRPr lang="en-US"/>
          </a:p>
        </c:txPr>
        <c:crossAx val="1829183295"/>
        <c:crosses val="autoZero"/>
        <c:auto val="1"/>
        <c:lblAlgn val="ctr"/>
        <c:lblOffset val="100"/>
        <c:noMultiLvlLbl val="0"/>
      </c:catAx>
      <c:valAx>
        <c:axId val="1829183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0">
                  <a:solidFill>
                    <a:schemeClr val="tx1">
                      <a:alpha val="57000"/>
                    </a:schemeClr>
                  </a:solidFill>
                </a:ln>
                <a:solidFill>
                  <a:schemeClr val="tx1">
                    <a:lumMod val="65000"/>
                    <a:lumOff val="35000"/>
                  </a:schemeClr>
                </a:solidFill>
                <a:latin typeface="+mn-lt"/>
                <a:ea typeface="+mn-ea"/>
                <a:cs typeface="+mn-cs"/>
              </a:defRPr>
            </a:pPr>
            <a:endParaRPr lang="en-US"/>
          </a:p>
        </c:txPr>
        <c:crossAx val="182918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0">
                <a:solidFill>
                  <a:schemeClr val="tx1">
                    <a:alpha val="57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ln w="0">
            <a:solidFill>
              <a:schemeClr val="tx1">
                <a:alpha val="57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[JIGISHA KARNIK_IT_Helpdesk_Project.xlsx]Priority 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Tickets</a:t>
            </a:r>
            <a:r>
              <a:rPr lang="en-US" b="1" i="1" u="sng" baseline="0"/>
              <a:t> by Priority</a:t>
            </a:r>
            <a:endParaRPr lang="en-US" b="1" i="1" u="sng"/>
          </a:p>
        </c:rich>
      </c:tx>
      <c:layout>
        <c:manualLayout>
          <c:xMode val="edge"/>
          <c:yMode val="edge"/>
          <c:x val="0.2965974865724566"/>
          <c:y val="6.2246657037692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manualLayout>
          <c:layoutTarget val="inner"/>
          <c:xMode val="edge"/>
          <c:yMode val="edge"/>
          <c:x val="0.19220681024143504"/>
          <c:y val="0.14544192330988209"/>
          <c:w val="0.61467043854617509"/>
          <c:h val="0.7322701082483033"/>
        </c:manualLayout>
      </c:layout>
      <c:pieChart>
        <c:varyColors val="1"/>
        <c:ser>
          <c:idx val="0"/>
          <c:order val="0"/>
          <c:tx>
            <c:strRef>
              <c:f>'Priority Pivot'!$B$3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8BA-47AE-91F9-EBCCEC851C4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8BA-47AE-91F9-EBCCEC851C4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08BA-47AE-91F9-EBCCEC851C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'Priority Pivot'!$A$4:$A$7</c:f>
              <c:strCache>
                <c:ptCount val="3"/>
                <c:pt idx="0">
                  <c:v>Medium</c:v>
                </c:pt>
                <c:pt idx="1">
                  <c:v>Low</c:v>
                </c:pt>
                <c:pt idx="2">
                  <c:v>High</c:v>
                </c:pt>
              </c:strCache>
            </c:strRef>
          </c:cat>
          <c:val>
            <c:numRef>
              <c:f>'Priority Pivot'!$B$4:$B$7</c:f>
              <c:numCache>
                <c:formatCode>General</c:formatCode>
                <c:ptCount val="3"/>
                <c:pt idx="0">
                  <c:v>40</c:v>
                </c:pt>
                <c:pt idx="1">
                  <c:v>35</c:v>
                </c:pt>
                <c:pt idx="2">
                  <c:v>25</c:v>
                </c:pt>
              </c:numCache>
            </c:numRef>
          </c:val>
          <c:extLst>
            <c:ext xmlns:c16="http://schemas.microsoft.com/office/drawing/2014/chart" uri="{C3380CC4-5D6E-409C-BE32-E72D297353CC}">
              <c16:uniqueId val="{00000000-3763-428D-B338-068C49A73EA1}"/>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[JIGISHA KARNIK_IT_Helpdesk_Project.xlsx]Agent Pivot!PivotTable3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i="1" u="sng"/>
              <a:t>Avg Resolution Time by Agent</a:t>
            </a:r>
            <a:endParaRPr lang="en-US" i="1" u="sng"/>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80034302642865"/>
          <c:y val="0.26576122449127182"/>
          <c:w val="0.65108629278483043"/>
          <c:h val="0.52379850337705658"/>
        </c:manualLayout>
      </c:layout>
      <c:barChart>
        <c:barDir val="bar"/>
        <c:grouping val="clustered"/>
        <c:varyColors val="0"/>
        <c:ser>
          <c:idx val="0"/>
          <c:order val="0"/>
          <c:tx>
            <c:strRef>
              <c:f>'Agent Pivot'!$B$3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'Agent Pivot'!$A$4:$A$10</c:f>
              <c:strCache>
                <c:ptCount val="6"/>
                <c:pt idx="0">
                  <c:v>Amit</c:v>
                </c:pt>
                <c:pt idx="1">
                  <c:v>Karan</c:v>
                </c:pt>
                <c:pt idx="2">
                  <c:v>Neha</c:v>
                </c:pt>
                <c:pt idx="3">
                  <c:v>Priya</c:v>
                </c:pt>
                <c:pt idx="4">
                  <c:v>Ramesh</c:v>
                </c:pt>
                <c:pt idx="5">
                  <c:v>Sneha</c:v>
                </c:pt>
              </c:strCache>
            </c:strRef>
          </c:cat>
          <c:val>
            <c:numRef>
              <c:f>'Agent Pivot'!$B$4:$B$10</c:f>
              <c:numCache>
                <c:formatCode>0.00</c:formatCode>
                <c:ptCount val="6"/>
                <c:pt idx="0">
                  <c:v>26.923076923076923</c:v>
                </c:pt>
                <c:pt idx="1">
                  <c:v>19.739130434782609</c:v>
                </c:pt>
                <c:pt idx="2">
                  <c:v>25.944444444444443</c:v>
                </c:pt>
                <c:pt idx="3">
                  <c:v>22.333333333333332</c:v>
                </c:pt>
                <c:pt idx="4">
                  <c:v>23</c:v>
                </c:pt>
                <c:pt idx="5">
                  <c:v>21</c:v>
                </c:pt>
              </c:numCache>
            </c:numRef>
          </c:val>
          <c:extLst>
            <c:ext xmlns:c16="http://schemas.microsoft.com/office/drawing/2014/chart" uri="{C3380CC4-5D6E-409C-BE32-E72D297353CC}">
              <c16:uniqueId val="{00000000-B8CB-411E-9BDC-E7AE16A8296E}"/>
            </c:ext>
          </c:extLst>
        </c:ser>
        <c:dLbls>
          <c:dLblPos val="inEnd"/>
          <c:showLegendKey val="0"/>
          <c:showVal val="1"/>
          <c:showCatName val="0"/>
          <c:showSerName val="0"/>
          <c:showPercent val="0"/>
          <c:showBubbleSize val="0"/>
        </c:dLbls>
        <c:gapWidth val="65"/>
        <c:axId val="157405951"/>
        <c:axId val="157406911"/>
      </c:barChart>
      <c:catAx>
        <c:axId val="1574059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406911"/>
        <c:crosses val="autoZero"/>
        <c:auto val="1"/>
        <c:lblAlgn val="ctr"/>
        <c:lblOffset val="100"/>
        <c:noMultiLvlLbl val="0"/>
      </c:catAx>
      <c:valAx>
        <c:axId val="15740691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740595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[JIGISHA KARNIK_IT_Helpdesk_Project.xlsx]Trends 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sng" strike="noStrike" baseline="0"/>
              <a:t>Tickets Trend by Month</a:t>
            </a:r>
            <a:endParaRPr lang="en-US" b="1" i="1" u="sng"/>
          </a:p>
        </c:rich>
      </c:tx>
      <c:layout>
        <c:manualLayout>
          <c:xMode val="edge"/>
          <c:yMode val="edge"/>
          <c:x val="0.30396522309711288"/>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square"/>
          <c:size val="8"/>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46981627296588"/>
          <c:y val="0.28180336832895886"/>
          <c:w val="0.73891863517060363"/>
          <c:h val="0.53311424613589964"/>
        </c:manualLayout>
      </c:layout>
      <c:lineChart>
        <c:grouping val="standard"/>
        <c:varyColors val="0"/>
        <c:ser>
          <c:idx val="0"/>
          <c:order val="0"/>
          <c:tx>
            <c:strRef>
              <c:f>'Trends Pivot'!$B$3</c:f>
              <c:strCache>
                <c:ptCount val="1"/>
                <c:pt idx="0">
                  <c:v>Total</c:v>
                </c:pt>
              </c:strCache>
            </c:strRef>
          </c:tx>
          <c:spPr>
            <a:ln w="28575" cap="rnd">
              <a:solidFill>
                <a:schemeClr val="accent6"/>
              </a:solidFill>
              <a:round/>
            </a:ln>
            <a:effectLst/>
          </c:spPr>
          <c:marker>
            <c:symbol val="square"/>
            <c:size val="8"/>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Pivot'!$A$4:$A$10</c:f>
              <c:strCache>
                <c:ptCount val="6"/>
                <c:pt idx="0">
                  <c:v>Apr-2025</c:v>
                </c:pt>
                <c:pt idx="1">
                  <c:v>Feb-2025</c:v>
                </c:pt>
                <c:pt idx="2">
                  <c:v>Jan-2025</c:v>
                </c:pt>
                <c:pt idx="3">
                  <c:v>Jun-2025</c:v>
                </c:pt>
                <c:pt idx="4">
                  <c:v>Mar-2025</c:v>
                </c:pt>
                <c:pt idx="5">
                  <c:v>May-2025</c:v>
                </c:pt>
              </c:strCache>
            </c:strRef>
          </c:cat>
          <c:val>
            <c:numRef>
              <c:f>'Trends Pivot'!$B$4:$B$10</c:f>
              <c:numCache>
                <c:formatCode>General</c:formatCode>
                <c:ptCount val="6"/>
                <c:pt idx="0">
                  <c:v>14</c:v>
                </c:pt>
                <c:pt idx="1">
                  <c:v>19</c:v>
                </c:pt>
                <c:pt idx="2">
                  <c:v>18</c:v>
                </c:pt>
                <c:pt idx="3">
                  <c:v>14</c:v>
                </c:pt>
                <c:pt idx="4">
                  <c:v>19</c:v>
                </c:pt>
                <c:pt idx="5">
                  <c:v>16</c:v>
                </c:pt>
              </c:numCache>
            </c:numRef>
          </c:val>
          <c:smooth val="0"/>
          <c:extLst>
            <c:ext xmlns:c16="http://schemas.microsoft.com/office/drawing/2014/chart" uri="{C3380CC4-5D6E-409C-BE32-E72D297353CC}">
              <c16:uniqueId val="{00000000-E676-4BA8-B862-80C04106D25D}"/>
            </c:ext>
          </c:extLst>
        </c:ser>
        <c:dLbls>
          <c:dLblPos val="t"/>
          <c:showLegendKey val="0"/>
          <c:showVal val="1"/>
          <c:showCatName val="0"/>
          <c:showSerName val="0"/>
          <c:showPercent val="0"/>
          <c:showBubbleSize val="0"/>
        </c:dLbls>
        <c:marker val="1"/>
        <c:smooth val="0"/>
        <c:axId val="157398271"/>
        <c:axId val="157399231"/>
      </c:lineChart>
      <c:catAx>
        <c:axId val="15739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99231"/>
        <c:crosses val="autoZero"/>
        <c:auto val="1"/>
        <c:lblAlgn val="ctr"/>
        <c:lblOffset val="100"/>
        <c:noMultiLvlLbl val="0"/>
      </c:catAx>
      <c:valAx>
        <c:axId val="15739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9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[JIGISHA KARNIK_IT_Helpdesk_Project.xlsx]SLA Pivot!PivotTable6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t>SLA Compliance Overview</a:t>
            </a:r>
            <a:r>
              <a:rPr lang="en-IN" b="1" i="1" u="sng" baseline="0"/>
              <a:t> </a:t>
            </a:r>
            <a:endParaRPr lang="en-IN"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alpha val="43000"/>
                      </a:schemeClr>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manualLayout>
          <c:layoutTarget val="inner"/>
          <c:xMode val="edge"/>
          <c:yMode val="edge"/>
          <c:x val="9.5564639694268122E-2"/>
          <c:y val="0.25083212598425197"/>
          <c:w val="0.74844229369901261"/>
          <c:h val="0.54355509561304838"/>
        </c:manualLayout>
      </c:layout>
      <c:doughnutChart>
        <c:varyColors val="1"/>
        <c:ser>
          <c:idx val="0"/>
          <c:order val="0"/>
          <c:tx>
            <c:strRef>
              <c:f>'SLA Pivot'!$B$1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3BC-4D55-82A2-9C8B10FE3C8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3BC-4D55-82A2-9C8B10FE3C85}"/>
              </c:ext>
            </c:extLst>
          </c:dPt>
          <c:dLbls>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alpha val="43000"/>
                        </a:schemeClr>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'SLA Pivot'!$A$2:$A$4</c:f>
              <c:strCache>
                <c:ptCount val="2"/>
                <c:pt idx="0">
                  <c:v>No </c:v>
                </c:pt>
                <c:pt idx="1">
                  <c:v>Yes</c:v>
                </c:pt>
              </c:strCache>
            </c:strRef>
          </c:cat>
          <c:val>
            <c:numRef>
              <c:f>'SLA Pivot'!$B$2:$B$4</c:f>
              <c:numCache>
                <c:formatCode>General</c:formatCode>
                <c:ptCount val="2"/>
                <c:pt idx="0">
                  <c:v>49</c:v>
                </c:pt>
                <c:pt idx="1">
                  <c:v>51</c:v>
                </c:pt>
              </c:numCache>
            </c:numRef>
          </c:val>
          <c:extLst>
            <c:ext xmlns:c16="http://schemas.microsoft.com/office/drawing/2014/chart" uri="{C3380CC4-5D6E-409C-BE32-E72D297353CC}">
              <c16:uniqueId val="{00000000-48D7-462D-B4D0-B1B508752A64}"/>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6</xdr:col>
      <xdr:colOff>426468</xdr:colOff>
      <xdr:row>0</xdr:row>
      <xdr:rowOff>101295</xdr:rowOff>
    </xdr:from>
    <xdr:ext cx="5653320" cy="655301"/>
    <xdr:sp macro="" textlink="">
      <xdr:nvSpPr>
        <xdr:cNvPr id="3" name="TextBox 2">
          <a:extLst>
            <a:ext uri="{FF2B5EF4-FFF2-40B4-BE49-F238E27FC236}">
              <a16:creationId xmlns:a16="http://schemas.microsoft.com/office/drawing/2014/main" id="{3F6B2118-2407-2DA6-F784-CF8459B2EBDE}"/>
            </a:ext>
          </a:extLst>
        </xdr:cNvPr>
        <xdr:cNvSpPr txBox="1"/>
      </xdr:nvSpPr>
      <xdr:spPr>
        <a:xfrm>
          <a:off x="4074340" y="101295"/>
          <a:ext cx="5653320" cy="655301"/>
        </a:xfrm>
        <a:prstGeom prst="rect">
          <a:avLst/>
        </a:prstGeom>
        <a:solidFill>
          <a:schemeClr val="bg1">
            <a:lumMod val="95000"/>
          </a:schemeClr>
        </a:solidFill>
        <a:ln w="3175">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IN" sz="4000" b="1" i="0" u="sng">
              <a:solidFill>
                <a:schemeClr val="tx1">
                  <a:lumMod val="85000"/>
                  <a:lumOff val="15000"/>
                </a:schemeClr>
              </a:solidFill>
              <a:latin typeface="+mn-lt"/>
              <a:cs typeface="Times New Roman" panose="02020603050405020304" pitchFamily="18" charset="0"/>
            </a:rPr>
            <a:t>IT Helpdesk Dashboard</a:t>
          </a:r>
        </a:p>
      </xdr:txBody>
    </xdr:sp>
    <xdr:clientData/>
  </xdr:oneCellAnchor>
  <xdr:oneCellAnchor>
    <xdr:from>
      <xdr:col>4</xdr:col>
      <xdr:colOff>317501</xdr:colOff>
      <xdr:row>5</xdr:row>
      <xdr:rowOff>40531</xdr:rowOff>
    </xdr:from>
    <xdr:ext cx="8671508" cy="295645"/>
    <xdr:sp macro="" textlink="">
      <xdr:nvSpPr>
        <xdr:cNvPr id="4" name="TextBox 3">
          <a:extLst>
            <a:ext uri="{FF2B5EF4-FFF2-40B4-BE49-F238E27FC236}">
              <a16:creationId xmlns:a16="http://schemas.microsoft.com/office/drawing/2014/main" id="{4E59EB0B-46AA-573B-3533-DF546D68BB68}"/>
            </a:ext>
          </a:extLst>
        </xdr:cNvPr>
        <xdr:cNvSpPr txBox="1"/>
      </xdr:nvSpPr>
      <xdr:spPr>
        <a:xfrm>
          <a:off x="2782795" y="974355"/>
          <a:ext cx="8671508" cy="295645"/>
        </a:xfrm>
        <a:prstGeom prst="rect">
          <a:avLst/>
        </a:prstGeom>
        <a:solidFill>
          <a:schemeClr val="bg1">
            <a:lumMod val="9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IN" sz="2000" b="0" i="1">
              <a:solidFill>
                <a:schemeClr val="tx1">
                  <a:lumMod val="85000"/>
                  <a:lumOff val="15000"/>
                </a:schemeClr>
              </a:solidFill>
              <a:latin typeface="+mn-lt"/>
            </a:rPr>
            <a:t>Ticket Priority, SLA Compliance, Agent &amp; Department Performance – Current Period</a:t>
          </a:r>
        </a:p>
        <a:p>
          <a:endParaRPr lang="en-IN" sz="1800"/>
        </a:p>
      </xdr:txBody>
    </xdr:sp>
    <xdr:clientData/>
  </xdr:oneCellAnchor>
  <xdr:twoCellAnchor>
    <xdr:from>
      <xdr:col>6</xdr:col>
      <xdr:colOff>255431</xdr:colOff>
      <xdr:row>16</xdr:row>
      <xdr:rowOff>3611</xdr:rowOff>
    </xdr:from>
    <xdr:to>
      <xdr:col>12</xdr:col>
      <xdr:colOff>109531</xdr:colOff>
      <xdr:row>33</xdr:row>
      <xdr:rowOff>8399</xdr:rowOff>
    </xdr:to>
    <xdr:graphicFrame macro="">
      <xdr:nvGraphicFramePr>
        <xdr:cNvPr id="6" name="Chart 5">
          <a:extLst>
            <a:ext uri="{FF2B5EF4-FFF2-40B4-BE49-F238E27FC236}">
              <a16:creationId xmlns:a16="http://schemas.microsoft.com/office/drawing/2014/main" id="{2174A769-5ADC-490F-B9D0-E4B5CE2F7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410171</xdr:colOff>
      <xdr:row>33</xdr:row>
      <xdr:rowOff>174152</xdr:rowOff>
    </xdr:from>
    <xdr:to>
      <xdr:col>9</xdr:col>
      <xdr:colOff>417269</xdr:colOff>
      <xdr:row>50</xdr:row>
      <xdr:rowOff>3148</xdr:rowOff>
    </xdr:to>
    <xdr:graphicFrame macro="">
      <xdr:nvGraphicFramePr>
        <xdr:cNvPr id="8" name="Chart 7">
          <a:extLst>
            <a:ext uri="{FF2B5EF4-FFF2-40B4-BE49-F238E27FC236}">
              <a16:creationId xmlns:a16="http://schemas.microsoft.com/office/drawing/2014/main" id="{835309D7-1039-445B-B791-0113A6AE0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28937</xdr:colOff>
      <xdr:row>33</xdr:row>
      <xdr:rowOff>178531</xdr:rowOff>
    </xdr:from>
    <xdr:to>
      <xdr:col>19</xdr:col>
      <xdr:colOff>38008</xdr:colOff>
      <xdr:row>50</xdr:row>
      <xdr:rowOff>2237</xdr:rowOff>
    </xdr:to>
    <xdr:graphicFrame macro="">
      <xdr:nvGraphicFramePr>
        <xdr:cNvPr id="9" name="Chart 8">
          <a:extLst>
            <a:ext uri="{FF2B5EF4-FFF2-40B4-BE49-F238E27FC236}">
              <a16:creationId xmlns:a16="http://schemas.microsoft.com/office/drawing/2014/main" id="{AF460BCD-D490-4215-A280-1A830571F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354246</xdr:colOff>
      <xdr:row>16</xdr:row>
      <xdr:rowOff>1652</xdr:rowOff>
    </xdr:from>
    <xdr:to>
      <xdr:col>18</xdr:col>
      <xdr:colOff>590859</xdr:colOff>
      <xdr:row>33</xdr:row>
      <xdr:rowOff>9507</xdr:rowOff>
    </xdr:to>
    <xdr:graphicFrame macro="">
      <xdr:nvGraphicFramePr>
        <xdr:cNvPr id="10" name="Chart 9">
          <a:extLst>
            <a:ext uri="{FF2B5EF4-FFF2-40B4-BE49-F238E27FC236}">
              <a16:creationId xmlns:a16="http://schemas.microsoft.com/office/drawing/2014/main" id="{E014D543-B1E4-453D-B4AD-2C36670E7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493067</xdr:colOff>
      <xdr:row>15</xdr:row>
      <xdr:rowOff>171185</xdr:rowOff>
    </xdr:from>
    <xdr:to>
      <xdr:col>6</xdr:col>
      <xdr:colOff>77679</xdr:colOff>
      <xdr:row>33</xdr:row>
      <xdr:rowOff>10259</xdr:rowOff>
    </xdr:to>
    <xdr:graphicFrame macro="">
      <xdr:nvGraphicFramePr>
        <xdr:cNvPr id="2" name="Chart 1">
          <a:extLst>
            <a:ext uri="{FF2B5EF4-FFF2-40B4-BE49-F238E27FC236}">
              <a16:creationId xmlns:a16="http://schemas.microsoft.com/office/drawing/2014/main" id="{56F6D117-8FDF-43D5-8DE1-2B8F111A0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307577</xdr:colOff>
      <xdr:row>9</xdr:row>
      <xdr:rowOff>163158</xdr:rowOff>
    </xdr:from>
    <xdr:to>
      <xdr:col>11</xdr:col>
      <xdr:colOff>4960</xdr:colOff>
      <xdr:row>14</xdr:row>
      <xdr:rowOff>177925</xdr:rowOff>
    </xdr:to>
    <xdr:sp macro="" textlink="">
      <xdr:nvSpPr>
        <xdr:cNvPr id="14" name="Rectangle 13">
          <a:extLst>
            <a:ext uri="{FF2B5EF4-FFF2-40B4-BE49-F238E27FC236}">
              <a16:creationId xmlns:a16="http://schemas.microsoft.com/office/drawing/2014/main" id="{443B9E64-2847-794F-7BC4-2E073C990866}"/>
            </a:ext>
          </a:extLst>
        </xdr:cNvPr>
        <xdr:cNvSpPr/>
      </xdr:nvSpPr>
      <xdr:spPr>
        <a:xfrm>
          <a:off x="4544218" y="1859799"/>
          <a:ext cx="2118320" cy="957345"/>
        </a:xfrm>
        <a:prstGeom prst="rect">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407027</xdr:colOff>
      <xdr:row>12</xdr:row>
      <xdr:rowOff>112807</xdr:rowOff>
    </xdr:from>
    <xdr:to>
      <xdr:col>10</xdr:col>
      <xdr:colOff>493170</xdr:colOff>
      <xdr:row>14</xdr:row>
      <xdr:rowOff>111578</xdr:rowOff>
    </xdr:to>
    <xdr:sp macro="" textlink="">
      <xdr:nvSpPr>
        <xdr:cNvPr id="12" name="TextBox 11">
          <a:extLst>
            <a:ext uri="{FF2B5EF4-FFF2-40B4-BE49-F238E27FC236}">
              <a16:creationId xmlns:a16="http://schemas.microsoft.com/office/drawing/2014/main" id="{F448632C-DB9F-6AAF-5097-BD516102CDE1}"/>
            </a:ext>
          </a:extLst>
        </xdr:cNvPr>
        <xdr:cNvSpPr txBox="1"/>
      </xdr:nvSpPr>
      <xdr:spPr>
        <a:xfrm>
          <a:off x="4643668" y="2374995"/>
          <a:ext cx="1901846" cy="37580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SLA BREACHED</a:t>
          </a:r>
        </a:p>
      </xdr:txBody>
    </xdr:sp>
    <xdr:clientData/>
  </xdr:twoCellAnchor>
  <xdr:twoCellAnchor>
    <xdr:from>
      <xdr:col>8</xdr:col>
      <xdr:colOff>297656</xdr:colOff>
      <xdr:row>10</xdr:row>
      <xdr:rowOff>3109</xdr:rowOff>
    </xdr:from>
    <xdr:to>
      <xdr:col>9</xdr:col>
      <xdr:colOff>585622</xdr:colOff>
      <xdr:row>12</xdr:row>
      <xdr:rowOff>173158</xdr:rowOff>
    </xdr:to>
    <xdr:sp macro="" textlink="'SLA Pivot'!$C$3">
      <xdr:nvSpPr>
        <xdr:cNvPr id="13" name="TextBox 12">
          <a:extLst>
            <a:ext uri="{FF2B5EF4-FFF2-40B4-BE49-F238E27FC236}">
              <a16:creationId xmlns:a16="http://schemas.microsoft.com/office/drawing/2014/main" id="{BAD0CC9A-ED39-DF25-7F39-62BE065A893C}"/>
            </a:ext>
          </a:extLst>
        </xdr:cNvPr>
        <xdr:cNvSpPr txBox="1"/>
      </xdr:nvSpPr>
      <xdr:spPr>
        <a:xfrm>
          <a:off x="5139531" y="1888265"/>
          <a:ext cx="893200" cy="54708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59551C-9CEA-4A9D-957D-AA071E2ECD71}" type="TxLink">
            <a:rPr lang="en-US" sz="2800" b="0" i="0" u="none" strike="noStrike">
              <a:solidFill>
                <a:srgbClr val="FF0000"/>
              </a:solidFill>
              <a:latin typeface="Calibri"/>
              <a:ea typeface="Calibri"/>
              <a:cs typeface="Calibri"/>
            </a:rPr>
            <a:pPr/>
            <a:t>51%</a:t>
          </a:fld>
          <a:endParaRPr lang="en-IN" sz="2800" b="0">
            <a:solidFill>
              <a:srgbClr val="FF0000"/>
            </a:solidFill>
          </a:endParaRPr>
        </a:p>
      </xdr:txBody>
    </xdr:sp>
    <xdr:clientData/>
  </xdr:twoCellAnchor>
  <xdr:twoCellAnchor>
    <xdr:from>
      <xdr:col>13</xdr:col>
      <xdr:colOff>264583</xdr:colOff>
      <xdr:row>9</xdr:row>
      <xdr:rowOff>107370</xdr:rowOff>
    </xdr:from>
    <xdr:to>
      <xdr:col>17</xdr:col>
      <xdr:colOff>92012</xdr:colOff>
      <xdr:row>14</xdr:row>
      <xdr:rowOff>88572</xdr:rowOff>
    </xdr:to>
    <xdr:sp macro="" textlink="">
      <xdr:nvSpPr>
        <xdr:cNvPr id="15" name="Rectangle 14">
          <a:extLst>
            <a:ext uri="{FF2B5EF4-FFF2-40B4-BE49-F238E27FC236}">
              <a16:creationId xmlns:a16="http://schemas.microsoft.com/office/drawing/2014/main" id="{60A6289C-CB68-2605-5708-6566A9CCE201}"/>
            </a:ext>
          </a:extLst>
        </xdr:cNvPr>
        <xdr:cNvSpPr/>
      </xdr:nvSpPr>
      <xdr:spPr>
        <a:xfrm>
          <a:off x="8175625" y="1774245"/>
          <a:ext cx="2261595" cy="907244"/>
        </a:xfrm>
        <a:prstGeom prst="rect">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112494</xdr:colOff>
      <xdr:row>9</xdr:row>
      <xdr:rowOff>108472</xdr:rowOff>
    </xdr:from>
    <xdr:to>
      <xdr:col>16</xdr:col>
      <xdr:colOff>357579</xdr:colOff>
      <xdr:row>12</xdr:row>
      <xdr:rowOff>14732</xdr:rowOff>
    </xdr:to>
    <xdr:sp macro="" textlink="'Agent Pivot'!$B$10">
      <xdr:nvSpPr>
        <xdr:cNvPr id="17" name="TextBox 16">
          <a:extLst>
            <a:ext uri="{FF2B5EF4-FFF2-40B4-BE49-F238E27FC236}">
              <a16:creationId xmlns:a16="http://schemas.microsoft.com/office/drawing/2014/main" id="{3387224C-44B0-4902-8188-762093EC5ADC}"/>
            </a:ext>
          </a:extLst>
        </xdr:cNvPr>
        <xdr:cNvSpPr txBox="1"/>
      </xdr:nvSpPr>
      <xdr:spPr>
        <a:xfrm>
          <a:off x="8585775" y="1805113"/>
          <a:ext cx="1455554" cy="47180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2BA0A7-29C5-46BB-84DC-DF9335A35D7A}" type="TxLink">
            <a:rPr lang="en-US" sz="2800" b="1" i="0" u="none" strike="noStrike">
              <a:solidFill>
                <a:srgbClr val="000000"/>
              </a:solidFill>
              <a:latin typeface="Calibri"/>
              <a:ea typeface="Calibri"/>
              <a:cs typeface="Calibri"/>
            </a:rPr>
            <a:pPr/>
            <a:t>22.93</a:t>
          </a:fld>
          <a:r>
            <a:rPr lang="en-US" sz="2800" b="1" i="0" u="none" strike="noStrike">
              <a:solidFill>
                <a:srgbClr val="000000"/>
              </a:solidFill>
              <a:latin typeface="Calibri"/>
              <a:ea typeface="Calibri"/>
              <a:cs typeface="Calibri"/>
            </a:rPr>
            <a:t> h</a:t>
          </a:r>
          <a:endParaRPr lang="en-IN" sz="2800" b="1"/>
        </a:p>
      </xdr:txBody>
    </xdr:sp>
    <xdr:clientData/>
  </xdr:twoCellAnchor>
  <xdr:twoCellAnchor>
    <xdr:from>
      <xdr:col>13</xdr:col>
      <xdr:colOff>325664</xdr:colOff>
      <xdr:row>11</xdr:row>
      <xdr:rowOff>172152</xdr:rowOff>
    </xdr:from>
    <xdr:to>
      <xdr:col>17</xdr:col>
      <xdr:colOff>33192</xdr:colOff>
      <xdr:row>14</xdr:row>
      <xdr:rowOff>12069</xdr:rowOff>
    </xdr:to>
    <xdr:sp macro="" textlink="">
      <xdr:nvSpPr>
        <xdr:cNvPr id="18" name="TextBox 17">
          <a:extLst>
            <a:ext uri="{FF2B5EF4-FFF2-40B4-BE49-F238E27FC236}">
              <a16:creationId xmlns:a16="http://schemas.microsoft.com/office/drawing/2014/main" id="{02001A19-ADCD-420B-F358-BFCD43FA1041}"/>
            </a:ext>
          </a:extLst>
        </xdr:cNvPr>
        <xdr:cNvSpPr txBox="1"/>
      </xdr:nvSpPr>
      <xdr:spPr>
        <a:xfrm>
          <a:off x="8193711" y="2245824"/>
          <a:ext cx="2128465" cy="4054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Avg Resolution Time</a:t>
          </a:r>
        </a:p>
      </xdr:txBody>
    </xdr:sp>
    <xdr:clientData/>
  </xdr:twoCellAnchor>
  <xdr:twoCellAnchor>
    <xdr:from>
      <xdr:col>1</xdr:col>
      <xdr:colOff>386954</xdr:colOff>
      <xdr:row>9</xdr:row>
      <xdr:rowOff>130909</xdr:rowOff>
    </xdr:from>
    <xdr:to>
      <xdr:col>5</xdr:col>
      <xdr:colOff>56570</xdr:colOff>
      <xdr:row>14</xdr:row>
      <xdr:rowOff>121432</xdr:rowOff>
    </xdr:to>
    <xdr:sp macro="" textlink="">
      <xdr:nvSpPr>
        <xdr:cNvPr id="19" name="Rectangle 18">
          <a:extLst>
            <a:ext uri="{FF2B5EF4-FFF2-40B4-BE49-F238E27FC236}">
              <a16:creationId xmlns:a16="http://schemas.microsoft.com/office/drawing/2014/main" id="{F4C4FDAE-BA3D-3C4A-5D61-0C480D1A4308}"/>
            </a:ext>
          </a:extLst>
        </xdr:cNvPr>
        <xdr:cNvSpPr/>
      </xdr:nvSpPr>
      <xdr:spPr>
        <a:xfrm>
          <a:off x="992188" y="1827550"/>
          <a:ext cx="2090554" cy="933101"/>
        </a:xfrm>
        <a:prstGeom prst="rect">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372948</xdr:colOff>
      <xdr:row>9</xdr:row>
      <xdr:rowOff>148383</xdr:rowOff>
    </xdr:from>
    <xdr:to>
      <xdr:col>4</xdr:col>
      <xdr:colOff>23609</xdr:colOff>
      <xdr:row>12</xdr:row>
      <xdr:rowOff>16734</xdr:rowOff>
    </xdr:to>
    <xdr:sp macro="" textlink="'Department Pivot'!$B$10">
      <xdr:nvSpPr>
        <xdr:cNvPr id="20" name="TextBox 19">
          <a:extLst>
            <a:ext uri="{FF2B5EF4-FFF2-40B4-BE49-F238E27FC236}">
              <a16:creationId xmlns:a16="http://schemas.microsoft.com/office/drawing/2014/main" id="{7F9165A1-3ACF-4CE5-96C5-C9182CE5139F}"/>
            </a:ext>
          </a:extLst>
        </xdr:cNvPr>
        <xdr:cNvSpPr txBox="1"/>
      </xdr:nvSpPr>
      <xdr:spPr>
        <a:xfrm>
          <a:off x="1583417" y="1845024"/>
          <a:ext cx="861130" cy="43389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4B34B1-E956-4469-971F-34C079226DBF}" type="TxLink">
            <a:rPr lang="en-US" sz="2800" b="0" i="0" u="none" strike="noStrike">
              <a:solidFill>
                <a:srgbClr val="000000"/>
              </a:solidFill>
              <a:latin typeface="Calibri"/>
              <a:ea typeface="Calibri"/>
              <a:cs typeface="Calibri"/>
            </a:rPr>
            <a:pPr/>
            <a:t>100</a:t>
          </a:fld>
          <a:endParaRPr lang="en-IN" sz="2800"/>
        </a:p>
      </xdr:txBody>
    </xdr:sp>
    <xdr:clientData/>
  </xdr:twoCellAnchor>
  <xdr:twoCellAnchor>
    <xdr:from>
      <xdr:col>2</xdr:col>
      <xdr:colOff>120693</xdr:colOff>
      <xdr:row>12</xdr:row>
      <xdr:rowOff>46499</xdr:rowOff>
    </xdr:from>
    <xdr:to>
      <xdr:col>4</xdr:col>
      <xdr:colOff>507942</xdr:colOff>
      <xdr:row>14</xdr:row>
      <xdr:rowOff>37021</xdr:rowOff>
    </xdr:to>
    <xdr:sp macro="" textlink="">
      <xdr:nvSpPr>
        <xdr:cNvPr id="21" name="TextBox 20">
          <a:extLst>
            <a:ext uri="{FF2B5EF4-FFF2-40B4-BE49-F238E27FC236}">
              <a16:creationId xmlns:a16="http://schemas.microsoft.com/office/drawing/2014/main" id="{1CAB605E-BB5A-4196-83D0-298B54002358}"/>
            </a:ext>
          </a:extLst>
        </xdr:cNvPr>
        <xdr:cNvSpPr txBox="1"/>
      </xdr:nvSpPr>
      <xdr:spPr>
        <a:xfrm>
          <a:off x="1331162" y="2308687"/>
          <a:ext cx="1597718" cy="36755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Total Tickets</a:t>
          </a:r>
        </a:p>
      </xdr:txBody>
    </xdr:sp>
    <xdr:clientData/>
  </xdr:twoCellAnchor>
  <xdr:twoCellAnchor editAs="oneCell">
    <xdr:from>
      <xdr:col>19</xdr:col>
      <xdr:colOff>316917</xdr:colOff>
      <xdr:row>9</xdr:row>
      <xdr:rowOff>65576</xdr:rowOff>
    </xdr:from>
    <xdr:to>
      <xdr:col>22</xdr:col>
      <xdr:colOff>340980</xdr:colOff>
      <xdr:row>17</xdr:row>
      <xdr:rowOff>99218</xdr:rowOff>
    </xdr:to>
    <mc:AlternateContent xmlns:mc="http://schemas.openxmlformats.org/markup-compatibility/2006" xmlns:a14="http://schemas.microsoft.com/office/drawing/2010/main">
      <mc:Choice Requires="a14">
        <xdr:graphicFrame macro="">
          <xdr:nvGraphicFramePr>
            <xdr:cNvPr id="25" name="Priority">
              <a:extLst>
                <a:ext uri="{FF2B5EF4-FFF2-40B4-BE49-F238E27FC236}">
                  <a16:creationId xmlns:a16="http://schemas.microsoft.com/office/drawing/2014/main" id="{898CAD07-968B-AAC7-9120-40232A39139F}"/>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12027064" y="1746458"/>
              <a:ext cx="1873034" cy="15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333112</xdr:colOff>
      <xdr:row>34</xdr:row>
      <xdr:rowOff>23025</xdr:rowOff>
    </xdr:from>
    <xdr:to>
      <xdr:col>22</xdr:col>
      <xdr:colOff>340233</xdr:colOff>
      <xdr:row>49</xdr:row>
      <xdr:rowOff>0</xdr:rowOff>
    </xdr:to>
    <mc:AlternateContent xmlns:mc="http://schemas.openxmlformats.org/markup-compatibility/2006" xmlns:a14="http://schemas.microsoft.com/office/drawing/2010/main">
      <mc:Choice Requires="a14">
        <xdr:graphicFrame macro="">
          <xdr:nvGraphicFramePr>
            <xdr:cNvPr id="28" name="Assigned Agent">
              <a:extLst>
                <a:ext uri="{FF2B5EF4-FFF2-40B4-BE49-F238E27FC236}">
                  <a16:creationId xmlns:a16="http://schemas.microsoft.com/office/drawing/2014/main" id="{44A15296-DC9C-173B-E587-39CC037B497C}"/>
                </a:ext>
              </a:extLst>
            </xdr:cNvPr>
            <xdr:cNvGraphicFramePr/>
          </xdr:nvGraphicFramePr>
          <xdr:xfrm>
            <a:off x="0" y="0"/>
            <a:ext cx="0" cy="0"/>
          </xdr:xfrm>
          <a:graphic>
            <a:graphicData uri="http://schemas.microsoft.com/office/drawing/2010/slicer">
              <sle:slicer xmlns:sle="http://schemas.microsoft.com/office/drawing/2010/slicer" name="Assigned Agent"/>
            </a:graphicData>
          </a:graphic>
        </xdr:graphicFrame>
      </mc:Choice>
      <mc:Fallback xmlns="">
        <xdr:sp macro="" textlink="">
          <xdr:nvSpPr>
            <xdr:cNvPr id="0" name=""/>
            <xdr:cNvSpPr>
              <a:spLocks noTextEdit="1"/>
            </xdr:cNvSpPr>
          </xdr:nvSpPr>
          <xdr:spPr>
            <a:xfrm>
              <a:off x="12043259" y="6373025"/>
              <a:ext cx="1856092" cy="2778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313705</xdr:colOff>
      <xdr:row>18</xdr:row>
      <xdr:rowOff>81696</xdr:rowOff>
    </xdr:from>
    <xdr:to>
      <xdr:col>22</xdr:col>
      <xdr:colOff>289452</xdr:colOff>
      <xdr:row>32</xdr:row>
      <xdr:rowOff>158750</xdr:rowOff>
    </xdr:to>
    <mc:AlternateContent xmlns:mc="http://schemas.openxmlformats.org/markup-compatibility/2006" xmlns:a14="http://schemas.microsoft.com/office/drawing/2010/main">
      <mc:Choice Requires="a14">
        <xdr:graphicFrame macro="">
          <xdr:nvGraphicFramePr>
            <xdr:cNvPr id="29" name="Department">
              <a:extLst>
                <a:ext uri="{FF2B5EF4-FFF2-40B4-BE49-F238E27FC236}">
                  <a16:creationId xmlns:a16="http://schemas.microsoft.com/office/drawing/2014/main" id="{8FA07975-11CF-9839-81A9-BECF103EED2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023852" y="3443461"/>
              <a:ext cx="1824718" cy="2691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596900</xdr:colOff>
      <xdr:row>0</xdr:row>
      <xdr:rowOff>142874</xdr:rowOff>
    </xdr:from>
    <xdr:to>
      <xdr:col>11</xdr:col>
      <xdr:colOff>196850</xdr:colOff>
      <xdr:row>17</xdr:row>
      <xdr:rowOff>158749</xdr:rowOff>
    </xdr:to>
    <xdr:graphicFrame macro="">
      <xdr:nvGraphicFramePr>
        <xdr:cNvPr id="2" name="Chart 1">
          <a:extLst>
            <a:ext uri="{FF2B5EF4-FFF2-40B4-BE49-F238E27FC236}">
              <a16:creationId xmlns:a16="http://schemas.microsoft.com/office/drawing/2014/main" id="{830232D4-3122-2B34-1A32-CCC44534C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1</xdr:row>
      <xdr:rowOff>6350</xdr:rowOff>
    </xdr:from>
    <xdr:to>
      <xdr:col>8</xdr:col>
      <xdr:colOff>196850</xdr:colOff>
      <xdr:row>18</xdr:row>
      <xdr:rowOff>82550</xdr:rowOff>
    </xdr:to>
    <xdr:graphicFrame macro="">
      <xdr:nvGraphicFramePr>
        <xdr:cNvPr id="4" name="Chart 3">
          <a:extLst>
            <a:ext uri="{FF2B5EF4-FFF2-40B4-BE49-F238E27FC236}">
              <a16:creationId xmlns:a16="http://schemas.microsoft.com/office/drawing/2014/main" id="{1544AB87-A25C-FCD7-107D-FE156D682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0</xdr:row>
      <xdr:rowOff>168274</xdr:rowOff>
    </xdr:from>
    <xdr:to>
      <xdr:col>10</xdr:col>
      <xdr:colOff>482600</xdr:colOff>
      <xdr:row>16</xdr:row>
      <xdr:rowOff>82549</xdr:rowOff>
    </xdr:to>
    <xdr:graphicFrame macro="">
      <xdr:nvGraphicFramePr>
        <xdr:cNvPr id="2" name="Chart 1">
          <a:extLst>
            <a:ext uri="{FF2B5EF4-FFF2-40B4-BE49-F238E27FC236}">
              <a16:creationId xmlns:a16="http://schemas.microsoft.com/office/drawing/2014/main" id="{077485E2-9758-C117-DAE4-BDE4F7143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342900</xdr:colOff>
      <xdr:row>0</xdr:row>
      <xdr:rowOff>133350</xdr:rowOff>
    </xdr:from>
    <xdr:to>
      <xdr:col>10</xdr:col>
      <xdr:colOff>133350</xdr:colOff>
      <xdr:row>15</xdr:row>
      <xdr:rowOff>101600</xdr:rowOff>
    </xdr:to>
    <xdr:graphicFrame macro="">
      <xdr:nvGraphicFramePr>
        <xdr:cNvPr id="2" name="Chart 1">
          <a:extLst>
            <a:ext uri="{FF2B5EF4-FFF2-40B4-BE49-F238E27FC236}">
              <a16:creationId xmlns:a16="http://schemas.microsoft.com/office/drawing/2014/main" id="{9C26A671-18D4-A20F-E548-5655DE321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1</xdr:row>
      <xdr:rowOff>34925</xdr:rowOff>
    </xdr:from>
    <xdr:to>
      <xdr:col>9</xdr:col>
      <xdr:colOff>76200</xdr:colOff>
      <xdr:row>16</xdr:row>
      <xdr:rowOff>50800</xdr:rowOff>
    </xdr:to>
    <xdr:graphicFrame macro="">
      <xdr:nvGraphicFramePr>
        <xdr:cNvPr id="3" name="Chart 2">
          <a:extLst>
            <a:ext uri="{FF2B5EF4-FFF2-40B4-BE49-F238E27FC236}">
              <a16:creationId xmlns:a16="http://schemas.microsoft.com/office/drawing/2014/main" id="{02B9D311-7A9C-C3CF-E0A4-277EFFDA2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ody" refreshedDate="45948.981564814814" createdVersion="8" refreshedVersion="8" minRefreshableVersion="3" recordCount="100" xr:uid="{FF188207-7004-4C41-84DD-D4F9DF174EE1}">
  <cacheSource type="worksheet">
    <worksheetSource name="Table1"/>
  </cacheSource>
  <cacheFields count="11">
    <cacheField name="Ticket ID" numFmtId="0">
      <sharedItems count="100">
        <s v="TKT001"/>
        <s v="TKT002"/>
        <s v="TKT003"/>
        <s v="TKT004"/>
        <s v="TKT005"/>
        <s v="TKT006"/>
        <s v="TKT007"/>
        <s v="TKT008"/>
        <s v="TKT009"/>
        <s v="TKT010"/>
        <s v="TKT011"/>
        <s v="TKT012"/>
        <s v="TKT013"/>
        <s v="TKT014"/>
        <s v="TKT015"/>
        <s v="TKT016"/>
        <s v="TKT017"/>
        <s v="TKT018"/>
        <s v="TKT019"/>
        <s v="TKT020"/>
        <s v="TKT021"/>
        <s v="TKT022"/>
        <s v="TKT023"/>
        <s v="TKT024"/>
        <s v="TKT025"/>
        <s v="TKT026"/>
        <s v="TKT027"/>
        <s v="TKT028"/>
        <s v="TKT029"/>
        <s v="TKT030"/>
        <s v="TKT031"/>
        <s v="TKT032"/>
        <s v="TKT033"/>
        <s v="TKT034"/>
        <s v="TKT035"/>
        <s v="TKT036"/>
        <s v="TKT037"/>
        <s v="TKT038"/>
        <s v="TKT039"/>
        <s v="TKT040"/>
        <s v="TKT041"/>
        <s v="TKT042"/>
        <s v="TKT043"/>
        <s v="TKT044"/>
        <s v="TKT045"/>
        <s v="TKT046"/>
        <s v="TKT047"/>
        <s v="TKT048"/>
        <s v="TKT049"/>
        <s v="TKT050"/>
        <s v="TKT051"/>
        <s v="TKT052"/>
        <s v="TKT053"/>
        <s v="TKT054"/>
        <s v="TKT055"/>
        <s v="TKT056"/>
        <s v="TKT057"/>
        <s v="TKT058"/>
        <s v="TKT059"/>
        <s v="TKT060"/>
        <s v="TKT061"/>
        <s v="TKT062"/>
        <s v="TKT063"/>
        <s v="TKT064"/>
        <s v="TKT065"/>
        <s v="TKT066"/>
        <s v="TKT067"/>
        <s v="TKT068"/>
        <s v="TKT069"/>
        <s v="TKT070"/>
        <s v="TKT071"/>
        <s v="TKT072"/>
        <s v="TKT073"/>
        <s v="TKT074"/>
        <s v="TKT075"/>
        <s v="TKT076"/>
        <s v="TKT077"/>
        <s v="TKT078"/>
        <s v="TKT079"/>
        <s v="TKT080"/>
        <s v="TKT081"/>
        <s v="TKT082"/>
        <s v="TKT083"/>
        <s v="TKT084"/>
        <s v="TKT085"/>
        <s v="TKT086"/>
        <s v="TKT087"/>
        <s v="TKT088"/>
        <s v="TKT089"/>
        <s v="TKT090"/>
        <s v="TKT091"/>
        <s v="TKT092"/>
        <s v="TKT093"/>
        <s v="TKT094"/>
        <s v="TKT095"/>
        <s v="TKT096"/>
        <s v="TKT097"/>
        <s v="TKT098"/>
        <s v="TKT099"/>
        <s v="TKT100"/>
      </sharedItems>
    </cacheField>
    <cacheField name="Date Raised" numFmtId="14">
      <sharedItems containsSemiMixedTypes="0" containsNonDate="0" containsDate="1" containsString="0" minDate="2025-01-02T00:00:00" maxDate="2025-06-30T00:00:00" count="75">
        <d v="2025-04-13T00:00:00"/>
        <d v="2025-06-29T00:00:00"/>
        <d v="2025-04-03T00:00:00"/>
        <d v="2025-01-15T00:00:00"/>
        <d v="2025-04-17T00:00:00"/>
        <d v="2025-03-13T00:00:00"/>
        <d v="2025-01-21T00:00:00"/>
        <d v="2025-05-02T00:00:00"/>
        <d v="2025-03-16T00:00:00"/>
        <d v="2025-03-29T00:00:00"/>
        <d v="2025-04-27T00:00:00"/>
        <d v="2025-04-10T00:00:00"/>
        <d v="2025-04-14T00:00:00"/>
        <d v="2025-06-01T00:00:00"/>
        <d v="2025-05-11T00:00:00"/>
        <d v="2025-05-30T00:00:00"/>
        <d v="2025-02-22T00:00:00"/>
        <d v="2025-01-02T00:00:00"/>
        <d v="2025-06-07T00:00:00"/>
        <d v="2025-02-07T00:00:00"/>
        <d v="2025-05-10T00:00:00"/>
        <d v="2025-06-10T00:00:00"/>
        <d v="2025-02-27T00:00:00"/>
        <d v="2025-01-22T00:00:00"/>
        <d v="2025-03-30T00:00:00"/>
        <d v="2025-02-18T00:00:00"/>
        <d v="2025-02-28T00:00:00"/>
        <d v="2025-06-19T00:00:00"/>
        <d v="2025-06-24T00:00:00"/>
        <d v="2025-02-20T00:00:00"/>
        <d v="2025-04-18T00:00:00"/>
        <d v="2025-02-24T00:00:00"/>
        <d v="2025-03-05T00:00:00"/>
        <d v="2025-05-15T00:00:00"/>
        <d v="2025-03-14T00:00:00"/>
        <d v="2025-06-16T00:00:00"/>
        <d v="2025-01-18T00:00:00"/>
        <d v="2025-05-12T00:00:00"/>
        <d v="2025-03-01T00:00:00"/>
        <d v="2025-01-14T00:00:00"/>
        <d v="2025-01-09T00:00:00"/>
        <d v="2025-03-31T00:00:00"/>
        <d v="2025-03-25T00:00:00"/>
        <d v="2025-04-02T00:00:00"/>
        <d v="2025-04-21T00:00:00"/>
        <d v="2025-06-21T00:00:00"/>
        <d v="2025-01-08T00:00:00"/>
        <d v="2025-02-04T00:00:00"/>
        <d v="2025-03-22T00:00:00"/>
        <d v="2025-06-13T00:00:00"/>
        <d v="2025-02-19T00:00:00"/>
        <d v="2025-05-14T00:00:00"/>
        <d v="2025-02-23T00:00:00"/>
        <d v="2025-04-16T00:00:00"/>
        <d v="2025-01-04T00:00:00"/>
        <d v="2025-05-26T00:00:00"/>
        <d v="2025-02-13T00:00:00"/>
        <d v="2025-06-11T00:00:00"/>
        <d v="2025-04-05T00:00:00"/>
        <d v="2025-02-17T00:00:00"/>
        <d v="2025-02-09T00:00:00"/>
        <d v="2025-03-23T00:00:00"/>
        <d v="2025-01-24T00:00:00"/>
        <d v="2025-06-03T00:00:00"/>
        <d v="2025-05-04T00:00:00"/>
        <d v="2025-02-10T00:00:00"/>
        <d v="2025-06-06T00:00:00"/>
        <d v="2025-02-14T00:00:00"/>
        <d v="2025-03-06T00:00:00"/>
        <d v="2025-03-12T00:00:00"/>
        <d v="2025-05-09T00:00:00"/>
        <d v="2025-05-16T00:00:00"/>
        <d v="2025-03-04T00:00:00"/>
        <d v="2025-05-19T00:00:00"/>
        <d v="2025-06-12T00:00:00"/>
      </sharedItems>
    </cacheField>
    <cacheField name="Department" numFmtId="0">
      <sharedItems count="6">
        <s v="Finance"/>
        <s v="HR"/>
        <s v="Operations"/>
        <s v="IT"/>
        <s v="Sales"/>
        <s v="Admin"/>
      </sharedItems>
    </cacheField>
    <cacheField name="Issue Type" numFmtId="0">
      <sharedItems/>
    </cacheField>
    <cacheField name="Priority" numFmtId="0">
      <sharedItems count="3">
        <s v="Medium"/>
        <s v="Low"/>
        <s v="High"/>
      </sharedItems>
    </cacheField>
    <cacheField name="Assigned Agent" numFmtId="0">
      <sharedItems count="6">
        <s v="Ramesh"/>
        <s v="Karan"/>
        <s v="Sneha"/>
        <s v="Amit"/>
        <s v="Neha"/>
        <s v="Priya"/>
      </sharedItems>
    </cacheField>
    <cacheField name="Status" numFmtId="0">
      <sharedItems/>
    </cacheField>
    <cacheField name="Resolution Time (hrs)" numFmtId="1">
      <sharedItems containsSemiMixedTypes="0" containsString="0" containsNumber="1" containsInteger="1" minValue="1" maxValue="48" count="44">
        <n v="12"/>
        <n v="10"/>
        <n v="32"/>
        <n v="16"/>
        <n v="8"/>
        <n v="38"/>
        <n v="24"/>
        <n v="28"/>
        <n v="36"/>
        <n v="26"/>
        <n v="37"/>
        <n v="41"/>
        <n v="27"/>
        <n v="17"/>
        <n v="9"/>
        <n v="33"/>
        <n v="20"/>
        <n v="13"/>
        <n v="48"/>
        <n v="29"/>
        <n v="46"/>
        <n v="35"/>
        <n v="6"/>
        <n v="18"/>
        <n v="5"/>
        <n v="47"/>
        <n v="25"/>
        <n v="2"/>
        <n v="30"/>
        <n v="45"/>
        <n v="1"/>
        <n v="11"/>
        <n v="21"/>
        <n v="22"/>
        <n v="34"/>
        <n v="31"/>
        <n v="3"/>
        <n v="23"/>
        <n v="19"/>
        <n v="14"/>
        <n v="4"/>
        <n v="40"/>
        <n v="39"/>
        <n v="44"/>
      </sharedItems>
    </cacheField>
    <cacheField name="SLA Breached" numFmtId="0">
      <sharedItems count="3">
        <s v="No "/>
        <s v="Yes"/>
        <s v="No" u="1"/>
      </sharedItems>
    </cacheField>
    <cacheField name="Customer Satisfaction" numFmtId="1">
      <sharedItems containsString="0" containsBlank="1" containsNumber="1" containsInteger="1" minValue="3" maxValue="5"/>
    </cacheField>
    <cacheField name="Months" numFmtId="14">
      <sharedItems count="6">
        <s v="Apr-2025"/>
        <s v="Jun-2025"/>
        <s v="Jan-2025"/>
        <s v="Mar-2025"/>
        <s v="May-2025"/>
        <s v="Feb-2025"/>
      </sharedItems>
    </cacheField>
  </cacheFields>
  <extLst>
    <ext xmlns:x14="http://schemas.microsoft.com/office/spreadsheetml/2009/9/main" uri="{725AE2AE-9491-48be-B2B4-4EB974FC3084}">
      <x14:pivotCacheDefinition pivotCacheId="1862281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s v="Network Down"/>
    <x v="0"/>
    <x v="0"/>
    <s v="In Progress"/>
    <x v="0"/>
    <x v="0"/>
    <m/>
    <x v="0"/>
  </r>
  <r>
    <x v="1"/>
    <x v="1"/>
    <x v="1"/>
    <s v="Login Issue"/>
    <x v="1"/>
    <x v="1"/>
    <s v="Closed"/>
    <x v="1"/>
    <x v="0"/>
    <n v="5"/>
    <x v="1"/>
  </r>
  <r>
    <x v="2"/>
    <x v="2"/>
    <x v="0"/>
    <s v="Email Issue"/>
    <x v="0"/>
    <x v="1"/>
    <s v="Closed"/>
    <x v="2"/>
    <x v="1"/>
    <n v="3"/>
    <x v="0"/>
  </r>
  <r>
    <x v="3"/>
    <x v="3"/>
    <x v="2"/>
    <s v="Login Issue"/>
    <x v="2"/>
    <x v="2"/>
    <s v="Closed"/>
    <x v="3"/>
    <x v="0"/>
    <n v="3"/>
    <x v="2"/>
  </r>
  <r>
    <x v="4"/>
    <x v="4"/>
    <x v="3"/>
    <s v="Login Issue"/>
    <x v="0"/>
    <x v="1"/>
    <s v="Closed"/>
    <x v="4"/>
    <x v="0"/>
    <n v="5"/>
    <x v="0"/>
  </r>
  <r>
    <x v="5"/>
    <x v="5"/>
    <x v="3"/>
    <s v="Network Down"/>
    <x v="2"/>
    <x v="3"/>
    <s v="Closed"/>
    <x v="5"/>
    <x v="1"/>
    <n v="5"/>
    <x v="3"/>
  </r>
  <r>
    <x v="6"/>
    <x v="6"/>
    <x v="1"/>
    <s v="Login Issue"/>
    <x v="0"/>
    <x v="4"/>
    <s v="Closed"/>
    <x v="0"/>
    <x v="0"/>
    <n v="5"/>
    <x v="2"/>
  </r>
  <r>
    <x v="7"/>
    <x v="0"/>
    <x v="4"/>
    <s v="Software Bug"/>
    <x v="0"/>
    <x v="5"/>
    <s v="Closed"/>
    <x v="6"/>
    <x v="0"/>
    <n v="5"/>
    <x v="0"/>
  </r>
  <r>
    <x v="8"/>
    <x v="7"/>
    <x v="1"/>
    <s v="Software Bug"/>
    <x v="0"/>
    <x v="3"/>
    <s v="Closed"/>
    <x v="7"/>
    <x v="1"/>
    <n v="3"/>
    <x v="4"/>
  </r>
  <r>
    <x v="9"/>
    <x v="8"/>
    <x v="4"/>
    <s v="Hardware Fault"/>
    <x v="0"/>
    <x v="1"/>
    <s v="Closed"/>
    <x v="4"/>
    <x v="0"/>
    <n v="3"/>
    <x v="3"/>
  </r>
  <r>
    <x v="10"/>
    <x v="9"/>
    <x v="3"/>
    <s v="Email Issue"/>
    <x v="2"/>
    <x v="2"/>
    <s v="Closed"/>
    <x v="7"/>
    <x v="1"/>
    <n v="4"/>
    <x v="3"/>
  </r>
  <r>
    <x v="11"/>
    <x v="10"/>
    <x v="1"/>
    <s v="Login Issue"/>
    <x v="1"/>
    <x v="0"/>
    <s v="Closed"/>
    <x v="8"/>
    <x v="1"/>
    <n v="4"/>
    <x v="0"/>
  </r>
  <r>
    <x v="12"/>
    <x v="11"/>
    <x v="5"/>
    <s v="Login Issue"/>
    <x v="0"/>
    <x v="1"/>
    <s v="Closed"/>
    <x v="9"/>
    <x v="1"/>
    <n v="5"/>
    <x v="0"/>
  </r>
  <r>
    <x v="13"/>
    <x v="12"/>
    <x v="2"/>
    <s v="Network Down"/>
    <x v="0"/>
    <x v="2"/>
    <s v="In Progress"/>
    <x v="4"/>
    <x v="0"/>
    <m/>
    <x v="0"/>
  </r>
  <r>
    <x v="14"/>
    <x v="13"/>
    <x v="0"/>
    <s v="Software Bug"/>
    <x v="2"/>
    <x v="4"/>
    <s v="Closed"/>
    <x v="7"/>
    <x v="1"/>
    <n v="5"/>
    <x v="1"/>
  </r>
  <r>
    <x v="15"/>
    <x v="14"/>
    <x v="4"/>
    <s v="Email Issue"/>
    <x v="1"/>
    <x v="1"/>
    <s v="Closed"/>
    <x v="7"/>
    <x v="1"/>
    <n v="5"/>
    <x v="4"/>
  </r>
  <r>
    <x v="16"/>
    <x v="15"/>
    <x v="5"/>
    <s v="Hardware Fault"/>
    <x v="2"/>
    <x v="0"/>
    <s v="Closed"/>
    <x v="10"/>
    <x v="1"/>
    <n v="4"/>
    <x v="4"/>
  </r>
  <r>
    <x v="17"/>
    <x v="16"/>
    <x v="0"/>
    <s v="Software Bug"/>
    <x v="0"/>
    <x v="2"/>
    <s v="Closed"/>
    <x v="11"/>
    <x v="1"/>
    <n v="4"/>
    <x v="5"/>
  </r>
  <r>
    <x v="18"/>
    <x v="17"/>
    <x v="0"/>
    <s v="Hardware Fault"/>
    <x v="1"/>
    <x v="2"/>
    <s v="Closed"/>
    <x v="8"/>
    <x v="1"/>
    <n v="4"/>
    <x v="2"/>
  </r>
  <r>
    <x v="19"/>
    <x v="9"/>
    <x v="1"/>
    <s v="Network Down"/>
    <x v="2"/>
    <x v="2"/>
    <s v="Closed"/>
    <x v="12"/>
    <x v="1"/>
    <n v="4"/>
    <x v="3"/>
  </r>
  <r>
    <x v="20"/>
    <x v="18"/>
    <x v="0"/>
    <s v="Network Down"/>
    <x v="2"/>
    <x v="4"/>
    <s v="Open"/>
    <x v="13"/>
    <x v="0"/>
    <m/>
    <x v="1"/>
  </r>
  <r>
    <x v="21"/>
    <x v="19"/>
    <x v="2"/>
    <s v="Login Issue"/>
    <x v="2"/>
    <x v="1"/>
    <s v="Closed"/>
    <x v="14"/>
    <x v="0"/>
    <n v="4"/>
    <x v="5"/>
  </r>
  <r>
    <x v="22"/>
    <x v="20"/>
    <x v="5"/>
    <s v="Email Issue"/>
    <x v="0"/>
    <x v="4"/>
    <s v="Open"/>
    <x v="15"/>
    <x v="1"/>
    <m/>
    <x v="4"/>
  </r>
  <r>
    <x v="23"/>
    <x v="6"/>
    <x v="0"/>
    <s v="Hardware Fault"/>
    <x v="0"/>
    <x v="5"/>
    <s v="Closed"/>
    <x v="16"/>
    <x v="0"/>
    <n v="4"/>
    <x v="2"/>
  </r>
  <r>
    <x v="24"/>
    <x v="21"/>
    <x v="1"/>
    <s v="Software Bug"/>
    <x v="0"/>
    <x v="5"/>
    <s v="Closed"/>
    <x v="17"/>
    <x v="0"/>
    <n v="4"/>
    <x v="1"/>
  </r>
  <r>
    <x v="25"/>
    <x v="22"/>
    <x v="2"/>
    <s v="Network Down"/>
    <x v="2"/>
    <x v="1"/>
    <s v="Closed"/>
    <x v="7"/>
    <x v="1"/>
    <n v="5"/>
    <x v="5"/>
  </r>
  <r>
    <x v="26"/>
    <x v="23"/>
    <x v="3"/>
    <s v="Login Issue"/>
    <x v="1"/>
    <x v="4"/>
    <s v="Closed"/>
    <x v="18"/>
    <x v="1"/>
    <n v="5"/>
    <x v="2"/>
  </r>
  <r>
    <x v="27"/>
    <x v="24"/>
    <x v="5"/>
    <s v="Login Issue"/>
    <x v="0"/>
    <x v="0"/>
    <s v="Closed"/>
    <x v="19"/>
    <x v="1"/>
    <n v="5"/>
    <x v="3"/>
  </r>
  <r>
    <x v="28"/>
    <x v="25"/>
    <x v="0"/>
    <s v="Hardware Fault"/>
    <x v="1"/>
    <x v="2"/>
    <s v="Closed"/>
    <x v="17"/>
    <x v="0"/>
    <n v="5"/>
    <x v="5"/>
  </r>
  <r>
    <x v="29"/>
    <x v="26"/>
    <x v="1"/>
    <s v="Network Down"/>
    <x v="1"/>
    <x v="2"/>
    <s v="In Progress"/>
    <x v="20"/>
    <x v="1"/>
    <m/>
    <x v="5"/>
  </r>
  <r>
    <x v="30"/>
    <x v="27"/>
    <x v="3"/>
    <s v="Email Issue"/>
    <x v="0"/>
    <x v="1"/>
    <s v="Closed"/>
    <x v="21"/>
    <x v="1"/>
    <n v="4"/>
    <x v="1"/>
  </r>
  <r>
    <x v="31"/>
    <x v="3"/>
    <x v="3"/>
    <s v="Network Down"/>
    <x v="0"/>
    <x v="5"/>
    <s v="Closed"/>
    <x v="22"/>
    <x v="0"/>
    <n v="3"/>
    <x v="2"/>
  </r>
  <r>
    <x v="32"/>
    <x v="28"/>
    <x v="4"/>
    <s v="Hardware Fault"/>
    <x v="0"/>
    <x v="5"/>
    <s v="Closed"/>
    <x v="23"/>
    <x v="0"/>
    <n v="4"/>
    <x v="1"/>
  </r>
  <r>
    <x v="33"/>
    <x v="29"/>
    <x v="2"/>
    <s v="Hardware Fault"/>
    <x v="2"/>
    <x v="2"/>
    <s v="Closed"/>
    <x v="24"/>
    <x v="0"/>
    <n v="3"/>
    <x v="5"/>
  </r>
  <r>
    <x v="34"/>
    <x v="30"/>
    <x v="0"/>
    <s v="Network Down"/>
    <x v="2"/>
    <x v="1"/>
    <s v="Closed"/>
    <x v="25"/>
    <x v="1"/>
    <n v="5"/>
    <x v="0"/>
  </r>
  <r>
    <x v="35"/>
    <x v="31"/>
    <x v="1"/>
    <s v="Hardware Fault"/>
    <x v="1"/>
    <x v="4"/>
    <s v="Open"/>
    <x v="26"/>
    <x v="1"/>
    <m/>
    <x v="5"/>
  </r>
  <r>
    <x v="36"/>
    <x v="32"/>
    <x v="4"/>
    <s v="Network Down"/>
    <x v="1"/>
    <x v="5"/>
    <s v="Closed"/>
    <x v="27"/>
    <x v="0"/>
    <n v="4"/>
    <x v="3"/>
  </r>
  <r>
    <x v="37"/>
    <x v="14"/>
    <x v="2"/>
    <s v="Software Bug"/>
    <x v="0"/>
    <x v="4"/>
    <s v="Open"/>
    <x v="1"/>
    <x v="0"/>
    <m/>
    <x v="4"/>
  </r>
  <r>
    <x v="38"/>
    <x v="29"/>
    <x v="4"/>
    <s v="Network Down"/>
    <x v="0"/>
    <x v="5"/>
    <s v="Closed"/>
    <x v="28"/>
    <x v="1"/>
    <n v="5"/>
    <x v="5"/>
  </r>
  <r>
    <x v="39"/>
    <x v="33"/>
    <x v="5"/>
    <s v="Network Down"/>
    <x v="1"/>
    <x v="5"/>
    <s v="Closed"/>
    <x v="29"/>
    <x v="1"/>
    <n v="4"/>
    <x v="4"/>
  </r>
  <r>
    <x v="40"/>
    <x v="6"/>
    <x v="2"/>
    <s v="Hardware Fault"/>
    <x v="1"/>
    <x v="3"/>
    <s v="Closed"/>
    <x v="24"/>
    <x v="0"/>
    <n v="5"/>
    <x v="2"/>
  </r>
  <r>
    <x v="41"/>
    <x v="34"/>
    <x v="2"/>
    <s v="Hardware Fault"/>
    <x v="0"/>
    <x v="5"/>
    <s v="Closed"/>
    <x v="15"/>
    <x v="1"/>
    <n v="3"/>
    <x v="3"/>
  </r>
  <r>
    <x v="42"/>
    <x v="35"/>
    <x v="0"/>
    <s v="Login Issue"/>
    <x v="2"/>
    <x v="0"/>
    <s v="In Progress"/>
    <x v="30"/>
    <x v="0"/>
    <m/>
    <x v="1"/>
  </r>
  <r>
    <x v="43"/>
    <x v="36"/>
    <x v="2"/>
    <s v="Login Issue"/>
    <x v="1"/>
    <x v="1"/>
    <s v="In Progress"/>
    <x v="23"/>
    <x v="0"/>
    <m/>
    <x v="2"/>
  </r>
  <r>
    <x v="44"/>
    <x v="37"/>
    <x v="4"/>
    <s v="Software Bug"/>
    <x v="2"/>
    <x v="1"/>
    <s v="Closed"/>
    <x v="2"/>
    <x v="1"/>
    <n v="3"/>
    <x v="4"/>
  </r>
  <r>
    <x v="45"/>
    <x v="24"/>
    <x v="2"/>
    <s v="Login Issue"/>
    <x v="0"/>
    <x v="4"/>
    <s v="Closed"/>
    <x v="25"/>
    <x v="1"/>
    <n v="3"/>
    <x v="3"/>
  </r>
  <r>
    <x v="46"/>
    <x v="38"/>
    <x v="0"/>
    <s v="Network Down"/>
    <x v="1"/>
    <x v="5"/>
    <s v="In Progress"/>
    <x v="31"/>
    <x v="0"/>
    <m/>
    <x v="3"/>
  </r>
  <r>
    <x v="47"/>
    <x v="39"/>
    <x v="0"/>
    <s v="Hardware Fault"/>
    <x v="0"/>
    <x v="0"/>
    <s v="Open"/>
    <x v="32"/>
    <x v="0"/>
    <m/>
    <x v="2"/>
  </r>
  <r>
    <x v="48"/>
    <x v="40"/>
    <x v="5"/>
    <s v="Login Issue"/>
    <x v="1"/>
    <x v="4"/>
    <s v="Closed"/>
    <x v="9"/>
    <x v="1"/>
    <n v="4"/>
    <x v="2"/>
  </r>
  <r>
    <x v="49"/>
    <x v="41"/>
    <x v="4"/>
    <s v="Login Issue"/>
    <x v="0"/>
    <x v="3"/>
    <s v="Open"/>
    <x v="26"/>
    <x v="1"/>
    <m/>
    <x v="3"/>
  </r>
  <r>
    <x v="50"/>
    <x v="16"/>
    <x v="3"/>
    <s v="Software Bug"/>
    <x v="1"/>
    <x v="4"/>
    <s v="Closed"/>
    <x v="33"/>
    <x v="0"/>
    <n v="3"/>
    <x v="5"/>
  </r>
  <r>
    <x v="51"/>
    <x v="20"/>
    <x v="3"/>
    <s v="Software Bug"/>
    <x v="1"/>
    <x v="4"/>
    <s v="Closed"/>
    <x v="12"/>
    <x v="1"/>
    <n v="4"/>
    <x v="4"/>
  </r>
  <r>
    <x v="52"/>
    <x v="42"/>
    <x v="2"/>
    <s v="Network Down"/>
    <x v="0"/>
    <x v="5"/>
    <s v="Open"/>
    <x v="17"/>
    <x v="0"/>
    <m/>
    <x v="3"/>
  </r>
  <r>
    <x v="53"/>
    <x v="43"/>
    <x v="5"/>
    <s v="Hardware Fault"/>
    <x v="1"/>
    <x v="3"/>
    <s v="Open"/>
    <x v="15"/>
    <x v="1"/>
    <m/>
    <x v="0"/>
  </r>
  <r>
    <x v="54"/>
    <x v="44"/>
    <x v="1"/>
    <s v="Software Bug"/>
    <x v="1"/>
    <x v="4"/>
    <s v="Closed"/>
    <x v="34"/>
    <x v="1"/>
    <n v="3"/>
    <x v="0"/>
  </r>
  <r>
    <x v="55"/>
    <x v="45"/>
    <x v="2"/>
    <s v="Login Issue"/>
    <x v="0"/>
    <x v="0"/>
    <s v="Closed"/>
    <x v="11"/>
    <x v="1"/>
    <n v="3"/>
    <x v="1"/>
  </r>
  <r>
    <x v="56"/>
    <x v="46"/>
    <x v="5"/>
    <s v="Hardware Fault"/>
    <x v="1"/>
    <x v="0"/>
    <s v="Closed"/>
    <x v="21"/>
    <x v="1"/>
    <n v="4"/>
    <x v="2"/>
  </r>
  <r>
    <x v="57"/>
    <x v="28"/>
    <x v="4"/>
    <s v="Hardware Fault"/>
    <x v="2"/>
    <x v="1"/>
    <s v="Closed"/>
    <x v="30"/>
    <x v="0"/>
    <n v="4"/>
    <x v="1"/>
  </r>
  <r>
    <x v="58"/>
    <x v="47"/>
    <x v="4"/>
    <s v="Login Issue"/>
    <x v="1"/>
    <x v="3"/>
    <s v="Closed"/>
    <x v="32"/>
    <x v="0"/>
    <n v="3"/>
    <x v="5"/>
  </r>
  <r>
    <x v="59"/>
    <x v="48"/>
    <x v="4"/>
    <s v="Software Bug"/>
    <x v="0"/>
    <x v="3"/>
    <s v="Closed"/>
    <x v="18"/>
    <x v="1"/>
    <n v="4"/>
    <x v="3"/>
  </r>
  <r>
    <x v="60"/>
    <x v="49"/>
    <x v="4"/>
    <s v="Login Issue"/>
    <x v="0"/>
    <x v="1"/>
    <s v="Closed"/>
    <x v="22"/>
    <x v="0"/>
    <n v="3"/>
    <x v="1"/>
  </r>
  <r>
    <x v="61"/>
    <x v="50"/>
    <x v="4"/>
    <s v="Hardware Fault"/>
    <x v="0"/>
    <x v="4"/>
    <s v="Closed"/>
    <x v="7"/>
    <x v="1"/>
    <n v="4"/>
    <x v="5"/>
  </r>
  <r>
    <x v="62"/>
    <x v="12"/>
    <x v="5"/>
    <s v="Email Issue"/>
    <x v="0"/>
    <x v="3"/>
    <s v="Open"/>
    <x v="13"/>
    <x v="0"/>
    <m/>
    <x v="0"/>
  </r>
  <r>
    <x v="63"/>
    <x v="37"/>
    <x v="5"/>
    <s v="Email Issue"/>
    <x v="1"/>
    <x v="0"/>
    <s v="Closed"/>
    <x v="24"/>
    <x v="0"/>
    <n v="5"/>
    <x v="4"/>
  </r>
  <r>
    <x v="64"/>
    <x v="17"/>
    <x v="0"/>
    <s v="Network Down"/>
    <x v="2"/>
    <x v="0"/>
    <s v="Closed"/>
    <x v="35"/>
    <x v="1"/>
    <n v="5"/>
    <x v="2"/>
  </r>
  <r>
    <x v="65"/>
    <x v="51"/>
    <x v="3"/>
    <s v="Login Issue"/>
    <x v="2"/>
    <x v="5"/>
    <s v="Closed"/>
    <x v="24"/>
    <x v="0"/>
    <n v="5"/>
    <x v="4"/>
  </r>
  <r>
    <x v="66"/>
    <x v="52"/>
    <x v="4"/>
    <s v="Login Issue"/>
    <x v="2"/>
    <x v="3"/>
    <s v="Closed"/>
    <x v="5"/>
    <x v="1"/>
    <n v="5"/>
    <x v="5"/>
  </r>
  <r>
    <x v="67"/>
    <x v="53"/>
    <x v="1"/>
    <s v="Network Down"/>
    <x v="1"/>
    <x v="4"/>
    <s v="In Progress"/>
    <x v="36"/>
    <x v="0"/>
    <m/>
    <x v="0"/>
  </r>
  <r>
    <x v="68"/>
    <x v="54"/>
    <x v="5"/>
    <s v="Network Down"/>
    <x v="1"/>
    <x v="1"/>
    <s v="Closed"/>
    <x v="37"/>
    <x v="0"/>
    <n v="5"/>
    <x v="2"/>
  </r>
  <r>
    <x v="69"/>
    <x v="52"/>
    <x v="1"/>
    <s v="Network Down"/>
    <x v="0"/>
    <x v="1"/>
    <s v="Open"/>
    <x v="10"/>
    <x v="1"/>
    <m/>
    <x v="5"/>
  </r>
  <r>
    <x v="70"/>
    <x v="55"/>
    <x v="1"/>
    <s v="Hardware Fault"/>
    <x v="0"/>
    <x v="4"/>
    <s v="Closed"/>
    <x v="10"/>
    <x v="1"/>
    <n v="3"/>
    <x v="4"/>
  </r>
  <r>
    <x v="71"/>
    <x v="56"/>
    <x v="1"/>
    <s v="Login Issue"/>
    <x v="0"/>
    <x v="2"/>
    <s v="Open"/>
    <x v="1"/>
    <x v="0"/>
    <m/>
    <x v="5"/>
  </r>
  <r>
    <x v="72"/>
    <x v="57"/>
    <x v="0"/>
    <s v="Hardware Fault"/>
    <x v="2"/>
    <x v="5"/>
    <s v="In Progress"/>
    <x v="1"/>
    <x v="0"/>
    <m/>
    <x v="1"/>
  </r>
  <r>
    <x v="73"/>
    <x v="39"/>
    <x v="5"/>
    <s v="Network Down"/>
    <x v="1"/>
    <x v="1"/>
    <s v="In Progress"/>
    <x v="38"/>
    <x v="0"/>
    <m/>
    <x v="2"/>
  </r>
  <r>
    <x v="74"/>
    <x v="58"/>
    <x v="1"/>
    <s v="Login Issue"/>
    <x v="2"/>
    <x v="3"/>
    <s v="Closed"/>
    <x v="13"/>
    <x v="0"/>
    <n v="5"/>
    <x v="0"/>
  </r>
  <r>
    <x v="75"/>
    <x v="59"/>
    <x v="4"/>
    <s v="Hardware Fault"/>
    <x v="0"/>
    <x v="5"/>
    <s v="Closed"/>
    <x v="32"/>
    <x v="0"/>
    <n v="5"/>
    <x v="5"/>
  </r>
  <r>
    <x v="76"/>
    <x v="3"/>
    <x v="2"/>
    <s v="Hardware Fault"/>
    <x v="2"/>
    <x v="3"/>
    <s v="Closed"/>
    <x v="39"/>
    <x v="0"/>
    <n v="5"/>
    <x v="2"/>
  </r>
  <r>
    <x v="77"/>
    <x v="60"/>
    <x v="1"/>
    <s v="Network Down"/>
    <x v="1"/>
    <x v="0"/>
    <s v="Closed"/>
    <x v="14"/>
    <x v="0"/>
    <n v="5"/>
    <x v="5"/>
  </r>
  <r>
    <x v="78"/>
    <x v="61"/>
    <x v="0"/>
    <s v="Login Issue"/>
    <x v="0"/>
    <x v="5"/>
    <s v="Closed"/>
    <x v="20"/>
    <x v="1"/>
    <n v="4"/>
    <x v="3"/>
  </r>
  <r>
    <x v="79"/>
    <x v="44"/>
    <x v="5"/>
    <s v="Network Down"/>
    <x v="0"/>
    <x v="1"/>
    <s v="In Progress"/>
    <x v="30"/>
    <x v="0"/>
    <m/>
    <x v="0"/>
  </r>
  <r>
    <x v="80"/>
    <x v="16"/>
    <x v="0"/>
    <s v="Login Issue"/>
    <x v="1"/>
    <x v="5"/>
    <s v="Closed"/>
    <x v="29"/>
    <x v="1"/>
    <n v="3"/>
    <x v="5"/>
  </r>
  <r>
    <x v="81"/>
    <x v="62"/>
    <x v="1"/>
    <s v="Email Issue"/>
    <x v="1"/>
    <x v="5"/>
    <s v="In Progress"/>
    <x v="17"/>
    <x v="0"/>
    <m/>
    <x v="2"/>
  </r>
  <r>
    <x v="82"/>
    <x v="63"/>
    <x v="5"/>
    <s v="Software Bug"/>
    <x v="2"/>
    <x v="5"/>
    <s v="Closed"/>
    <x v="40"/>
    <x v="0"/>
    <n v="5"/>
    <x v="1"/>
  </r>
  <r>
    <x v="83"/>
    <x v="64"/>
    <x v="2"/>
    <s v="Software Bug"/>
    <x v="2"/>
    <x v="2"/>
    <s v="Open"/>
    <x v="30"/>
    <x v="0"/>
    <m/>
    <x v="4"/>
  </r>
  <r>
    <x v="84"/>
    <x v="65"/>
    <x v="1"/>
    <s v="Software Bug"/>
    <x v="1"/>
    <x v="5"/>
    <s v="Closed"/>
    <x v="41"/>
    <x v="1"/>
    <n v="5"/>
    <x v="5"/>
  </r>
  <r>
    <x v="85"/>
    <x v="66"/>
    <x v="0"/>
    <s v="Network Down"/>
    <x v="0"/>
    <x v="3"/>
    <s v="Open"/>
    <x v="2"/>
    <x v="1"/>
    <m/>
    <x v="1"/>
  </r>
  <r>
    <x v="86"/>
    <x v="3"/>
    <x v="3"/>
    <s v="Email Issue"/>
    <x v="0"/>
    <x v="0"/>
    <s v="Closed"/>
    <x v="34"/>
    <x v="1"/>
    <n v="5"/>
    <x v="2"/>
  </r>
  <r>
    <x v="87"/>
    <x v="67"/>
    <x v="4"/>
    <s v="Login Issue"/>
    <x v="2"/>
    <x v="4"/>
    <s v="Closed"/>
    <x v="7"/>
    <x v="1"/>
    <n v="3"/>
    <x v="5"/>
  </r>
  <r>
    <x v="88"/>
    <x v="68"/>
    <x v="0"/>
    <s v="Hardware Fault"/>
    <x v="1"/>
    <x v="5"/>
    <s v="Closed"/>
    <x v="35"/>
    <x v="1"/>
    <n v="4"/>
    <x v="3"/>
  </r>
  <r>
    <x v="89"/>
    <x v="24"/>
    <x v="5"/>
    <s v="Login Issue"/>
    <x v="1"/>
    <x v="1"/>
    <s v="Open"/>
    <x v="4"/>
    <x v="0"/>
    <m/>
    <x v="3"/>
  </r>
  <r>
    <x v="90"/>
    <x v="69"/>
    <x v="1"/>
    <s v="Hardware Fault"/>
    <x v="1"/>
    <x v="5"/>
    <s v="Closed"/>
    <x v="42"/>
    <x v="1"/>
    <n v="3"/>
    <x v="3"/>
  </r>
  <r>
    <x v="91"/>
    <x v="40"/>
    <x v="4"/>
    <s v="Login Issue"/>
    <x v="0"/>
    <x v="1"/>
    <s v="Closed"/>
    <x v="9"/>
    <x v="1"/>
    <n v="4"/>
    <x v="2"/>
  </r>
  <r>
    <x v="92"/>
    <x v="9"/>
    <x v="1"/>
    <s v="Email Issue"/>
    <x v="0"/>
    <x v="3"/>
    <s v="Closed"/>
    <x v="34"/>
    <x v="1"/>
    <n v="5"/>
    <x v="3"/>
  </r>
  <r>
    <x v="93"/>
    <x v="70"/>
    <x v="5"/>
    <s v="Hardware Fault"/>
    <x v="1"/>
    <x v="1"/>
    <s v="Closed"/>
    <x v="36"/>
    <x v="0"/>
    <n v="5"/>
    <x v="4"/>
  </r>
  <r>
    <x v="94"/>
    <x v="71"/>
    <x v="1"/>
    <s v="Network Down"/>
    <x v="2"/>
    <x v="4"/>
    <s v="Closed"/>
    <x v="0"/>
    <x v="0"/>
    <n v="3"/>
    <x v="4"/>
  </r>
  <r>
    <x v="95"/>
    <x v="72"/>
    <x v="3"/>
    <s v="Login Issue"/>
    <x v="0"/>
    <x v="0"/>
    <s v="Closed"/>
    <x v="30"/>
    <x v="0"/>
    <n v="3"/>
    <x v="3"/>
  </r>
  <r>
    <x v="96"/>
    <x v="73"/>
    <x v="4"/>
    <s v="Login Issue"/>
    <x v="1"/>
    <x v="1"/>
    <s v="Closed"/>
    <x v="43"/>
    <x v="1"/>
    <n v="4"/>
    <x v="4"/>
  </r>
  <r>
    <x v="97"/>
    <x v="48"/>
    <x v="4"/>
    <s v="Hardware Fault"/>
    <x v="1"/>
    <x v="1"/>
    <s v="Closed"/>
    <x v="24"/>
    <x v="0"/>
    <n v="4"/>
    <x v="3"/>
  </r>
  <r>
    <x v="98"/>
    <x v="71"/>
    <x v="5"/>
    <s v="Network Down"/>
    <x v="1"/>
    <x v="0"/>
    <s v="Closed"/>
    <x v="28"/>
    <x v="1"/>
    <n v="3"/>
    <x v="4"/>
  </r>
  <r>
    <x v="99"/>
    <x v="74"/>
    <x v="3"/>
    <s v="Network Down"/>
    <x v="2"/>
    <x v="4"/>
    <s v="Open"/>
    <x v="28"/>
    <x v="1"/>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0D84CA-3C25-4107-A42D-01C2F18C5D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3:B10" firstHeaderRow="1" firstDataRow="1" firstDataCol="1"/>
  <pivotFields count="11">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axis="axisRow" showAll="0" sortType="descending">
      <items count="7">
        <item x="4"/>
        <item x="2"/>
        <item x="3"/>
        <item x="1"/>
        <item x="0"/>
        <item x="5"/>
        <item t="default"/>
      </items>
    </pivotField>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Total Tickets" fld="0" subtotal="count" baseField="2" baseItem="0"/>
  </dataFields>
  <chartFormats count="2">
    <chartFormat chart="0"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B3324B-F24C-40D4-899F-76BB4CFAA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7" firstHeaderRow="1" firstDataRow="1" firstDataCol="1"/>
  <pivotFields count="11">
    <pivotField dataField="1" showAll="0"/>
    <pivotField numFmtId="164" showAll="0">
      <items count="76">
        <item x="17"/>
        <item x="54"/>
        <item x="46"/>
        <item x="40"/>
        <item x="39"/>
        <item x="3"/>
        <item x="36"/>
        <item x="6"/>
        <item x="23"/>
        <item x="62"/>
        <item x="47"/>
        <item x="19"/>
        <item x="60"/>
        <item x="65"/>
        <item x="56"/>
        <item x="67"/>
        <item x="59"/>
        <item x="25"/>
        <item x="50"/>
        <item x="29"/>
        <item x="16"/>
        <item x="52"/>
        <item x="31"/>
        <item x="22"/>
        <item x="26"/>
        <item x="38"/>
        <item x="72"/>
        <item x="32"/>
        <item x="68"/>
        <item x="69"/>
        <item x="5"/>
        <item x="34"/>
        <item x="8"/>
        <item x="48"/>
        <item x="61"/>
        <item x="42"/>
        <item x="9"/>
        <item x="24"/>
        <item x="41"/>
        <item x="43"/>
        <item x="2"/>
        <item x="58"/>
        <item x="11"/>
        <item x="0"/>
        <item x="12"/>
        <item x="53"/>
        <item x="4"/>
        <item x="30"/>
        <item x="44"/>
        <item x="10"/>
        <item x="7"/>
        <item x="64"/>
        <item x="70"/>
        <item x="20"/>
        <item x="14"/>
        <item x="37"/>
        <item x="51"/>
        <item x="33"/>
        <item x="71"/>
        <item x="73"/>
        <item x="55"/>
        <item x="15"/>
        <item x="13"/>
        <item x="63"/>
        <item x="66"/>
        <item x="18"/>
        <item x="21"/>
        <item x="57"/>
        <item x="74"/>
        <item x="49"/>
        <item x="35"/>
        <item x="27"/>
        <item x="45"/>
        <item x="28"/>
        <item x="1"/>
        <item t="default"/>
      </items>
    </pivotField>
    <pivotField showAll="0"/>
    <pivotField showAll="0"/>
    <pivotField axis="axisRow" showAll="0" sortType="descending">
      <items count="4">
        <item x="0"/>
        <item x="1"/>
        <item x="2"/>
        <item t="default"/>
      </items>
    </pivotField>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Total Tickets" fld="0" subtotal="count" baseField="4" baseItem="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4" count="1" selected="0">
            <x v="0"/>
          </reference>
        </references>
      </pivotArea>
    </chartFormat>
    <chartFormat chart="26" format="10">
      <pivotArea type="data" outline="0" fieldPosition="0">
        <references count="2">
          <reference field="4294967294" count="1" selected="0">
            <x v="0"/>
          </reference>
          <reference field="4" count="1" selected="0">
            <x v="1"/>
          </reference>
        </references>
      </pivotArea>
    </chartFormat>
    <chartFormat chart="26"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D4DED3-4AB9-42D2-AA35-725B9CF9DD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 firstHeaderRow="1" firstDataRow="1" firstDataCol="1"/>
  <pivotFields count="11">
    <pivotField showAll="0"/>
    <pivotField numFmtId="164" showAll="0"/>
    <pivotField showAll="0"/>
    <pivotField showAll="0"/>
    <pivotField showAll="0"/>
    <pivotField axis="axisRow" showAll="0" sortType="ascending">
      <items count="7">
        <item x="3"/>
        <item x="1"/>
        <item x="4"/>
        <item x="5"/>
        <item x="0"/>
        <item x="2"/>
        <item t="default"/>
      </items>
    </pivotField>
    <pivotField showAll="0"/>
    <pivotField dataField="1" showAll="0">
      <items count="45">
        <item h="1" x="30"/>
        <item h="1" x="27"/>
        <item x="36"/>
        <item h="1" x="40"/>
        <item h="1" x="24"/>
        <item h="1" x="22"/>
        <item h="1" x="4"/>
        <item h="1" x="14"/>
        <item h="1" x="1"/>
        <item h="1" x="31"/>
        <item h="1" x="0"/>
        <item h="1" x="17"/>
        <item h="1" x="39"/>
        <item h="1" x="3"/>
        <item h="1" x="13"/>
        <item h="1" x="23"/>
        <item h="1" x="38"/>
        <item h="1" x="16"/>
        <item h="1" x="32"/>
        <item h="1" x="33"/>
        <item h="1" x="37"/>
        <item h="1" x="6"/>
        <item h="1" x="26"/>
        <item h="1" x="9"/>
        <item h="1" x="12"/>
        <item h="1" x="7"/>
        <item h="1" x="19"/>
        <item h="1" x="28"/>
        <item h="1" x="35"/>
        <item h="1" x="2"/>
        <item h="1" x="15"/>
        <item h="1" x="34"/>
        <item h="1" x="21"/>
        <item h="1" x="8"/>
        <item h="1" x="10"/>
        <item h="1" x="5"/>
        <item h="1" x="42"/>
        <item h="1" x="41"/>
        <item h="1" x="11"/>
        <item h="1" x="43"/>
        <item h="1" x="29"/>
        <item h="1" x="20"/>
        <item h="1" x="25"/>
        <item h="1" x="18"/>
        <item t="default"/>
      </items>
    </pivotField>
    <pivotField showAll="0"/>
    <pivotField showAll="0"/>
    <pivotField showAll="0"/>
  </pivotFields>
  <rowFields count="1">
    <field x="5"/>
  </rowFields>
  <rowItems count="7">
    <i>
      <x/>
    </i>
    <i>
      <x v="1"/>
    </i>
    <i>
      <x v="2"/>
    </i>
    <i>
      <x v="3"/>
    </i>
    <i>
      <x v="4"/>
    </i>
    <i>
      <x v="5"/>
    </i>
    <i t="grand">
      <x/>
    </i>
  </rowItems>
  <colItems count="1">
    <i/>
  </colItems>
  <dataFields count="1">
    <dataField name="Average of Resolution Time (hrs)" fld="7" subtotal="average" baseField="5" baseItem="1" numFmtId="2"/>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5D0429-460C-4EFC-B36A-AFBA197260D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0" firstHeaderRow="1" firstDataRow="1" firstDataCol="1"/>
  <pivotFields count="11">
    <pivotField dataField="1" showAll="0"/>
    <pivotField numFmtId="164" showAll="0"/>
    <pivotField showAll="0"/>
    <pivotField showAll="0"/>
    <pivotField showAll="0"/>
    <pivotField showAll="0"/>
    <pivotField showAll="0"/>
    <pivotField showAll="0"/>
    <pivotField showAll="0"/>
    <pivotField showAll="0"/>
    <pivotField axis="axisRow" showAll="0" sortType="ascending">
      <items count="7">
        <item x="0"/>
        <item x="5"/>
        <item x="2"/>
        <item x="1"/>
        <item x="3"/>
        <item x="4"/>
        <item t="default"/>
      </items>
    </pivotField>
  </pivotFields>
  <rowFields count="1">
    <field x="10"/>
  </rowFields>
  <rowItems count="7">
    <i>
      <x/>
    </i>
    <i>
      <x v="1"/>
    </i>
    <i>
      <x v="2"/>
    </i>
    <i>
      <x v="3"/>
    </i>
    <i>
      <x v="4"/>
    </i>
    <i>
      <x v="5"/>
    </i>
    <i t="grand">
      <x/>
    </i>
  </rowItems>
  <colItems count="1">
    <i/>
  </colItems>
  <dataFields count="1">
    <dataField name="Ticket's Count" fld="0" subtotal="count" baseField="10" baseItem="0"/>
  </dataFields>
  <chartFormats count="2">
    <chartFormat chart="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77685F-401B-432F-B1D7-B5849C91B5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B4" firstHeaderRow="1" firstDataRow="1" firstDataCol="1"/>
  <pivotFields count="11">
    <pivotField dataField="1" showAll="0"/>
    <pivotField numFmtId="14" showAll="0"/>
    <pivotField showAll="0">
      <items count="7">
        <item x="5"/>
        <item x="0"/>
        <item x="1"/>
        <item x="3"/>
        <item x="2"/>
        <item x="4"/>
        <item t="default"/>
      </items>
    </pivotField>
    <pivotField showAll="0"/>
    <pivotField showAll="0"/>
    <pivotField showAll="0"/>
    <pivotField showAll="0"/>
    <pivotField numFmtId="1" showAll="0"/>
    <pivotField axis="axisRow" showAll="0" sortType="ascending">
      <items count="4">
        <item m="1" x="2"/>
        <item x="0"/>
        <item x="1"/>
        <item t="default"/>
      </items>
    </pivotField>
    <pivotField showAll="0"/>
    <pivotField showAll="0"/>
  </pivotFields>
  <rowFields count="1">
    <field x="8"/>
  </rowFields>
  <rowItems count="3">
    <i>
      <x v="1"/>
    </i>
    <i>
      <x v="2"/>
    </i>
    <i t="grand">
      <x/>
    </i>
  </rowItems>
  <colItems count="1">
    <i/>
  </colItems>
  <dataFields count="1">
    <dataField name="Count of Ticket ID" fld="0" subtotal="count" baseField="8" baseItem="0"/>
  </dataFields>
  <chartFormats count="9">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8" count="1" selected="0">
            <x v="0"/>
          </reference>
        </references>
      </pivotArea>
    </chartFormat>
    <chartFormat chart="7" format="2">
      <pivotArea type="data" outline="0" fieldPosition="0">
        <references count="2">
          <reference field="4294967294" count="1" selected="0">
            <x v="0"/>
          </reference>
          <reference field="8" count="1" selected="0">
            <x v="2"/>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8" count="1" selected="0">
            <x v="0"/>
          </reference>
        </references>
      </pivotArea>
    </chartFormat>
    <chartFormat chart="28" format="8">
      <pivotArea type="data" outline="0" fieldPosition="0">
        <references count="2">
          <reference field="4294967294" count="1" selected="0">
            <x v="0"/>
          </reference>
          <reference field="8" count="1" selected="0">
            <x v="2"/>
          </reference>
        </references>
      </pivotArea>
    </chartFormat>
    <chartFormat chart="28" format="9">
      <pivotArea type="data" outline="0" fieldPosition="0">
        <references count="2">
          <reference field="4294967294" count="1" selected="0">
            <x v="0"/>
          </reference>
          <reference field="8" count="1" selected="0">
            <x v="1"/>
          </reference>
        </references>
      </pivotArea>
    </chartFormat>
    <chartFormat chart="7"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054439C7-A4FB-42C2-880A-9E9FDAB82862}" sourceName="Priority">
  <pivotTables>
    <pivotTable tabId="4" name="PivotTable2"/>
  </pivotTables>
  <data>
    <tabular pivotCacheId="186228109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Agent" xr10:uid="{0C20F8EC-B49B-4BD5-841B-38DFC25BD7DA}" sourceName="Assigned Agent">
  <pivotTables>
    <pivotTable tabId="5" name="PivotTable3"/>
  </pivotTables>
  <data>
    <tabular pivotCacheId="1862281098">
      <items count="6">
        <i x="3" s="1"/>
        <i x="1" s="1"/>
        <i x="4" s="1"/>
        <i x="5"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7A8CCAB-FECC-41B1-ABBC-6587FBAA4AE7}" sourceName="Department">
  <pivotTables>
    <pivotTable tabId="2" name="PivotTable1"/>
  </pivotTables>
  <data>
    <tabular pivotCacheId="1862281098">
      <items count="6">
        <i x="5" s="1"/>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86680545-1D98-4BA5-89F1-70B23F97126C}" cache="Slicer_Priority" caption="Priority" style="SlicerStyleLight4" rowHeight="360000"/>
  <slicer name="Assigned Agent" xr10:uid="{B7ABCCDF-F185-4035-8A3A-3B71BDE1D06E}" cache="Slicer_Assigned_Agent" caption="Assigned Agent" style="SlicerStyleLight5" rowHeight="360000"/>
  <slicer name="Department" xr10:uid="{02CED40F-A250-4F6A-AB1C-266956BE968E}" cache="Slicer_Department" caption="Department" style="SlicerStyleLight5"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1BC347-90C9-4EB8-A6DE-3FD8A410C6AC}" name="Table1" displayName="Table1" ref="A1:K101" totalsRowShown="0" headerRowDxfId="7" headerRowBorderDxfId="6" tableBorderDxfId="5">
  <autoFilter ref="A1:K101" xr:uid="{391BC347-90C9-4EB8-A6DE-3FD8A410C6AC}"/>
  <tableColumns count="11">
    <tableColumn id="1" xr3:uid="{8D4AC5D4-730F-4BE9-8A14-E5E6C16EED96}" name="Ticket ID"/>
    <tableColumn id="2" xr3:uid="{A4F053A0-89AE-4EF5-AC06-8DDC359CF3FB}" name="Date Raised" dataDxfId="4"/>
    <tableColumn id="3" xr3:uid="{84833AE9-5309-454B-B822-958B35933062}" name="Department"/>
    <tableColumn id="4" xr3:uid="{1046DC29-B5AC-44BA-90B8-D1C031216A9B}" name="Issue Type"/>
    <tableColumn id="5" xr3:uid="{32054068-271C-46F1-A6D0-2E8A3E6E3FB5}" name="Priority"/>
    <tableColumn id="6" xr3:uid="{1E08FA04-7A10-49F0-8DBA-8766189575B2}" name="Assigned Agent"/>
    <tableColumn id="7" xr3:uid="{870720DF-6FD3-49CA-B123-4CE97C286D0F}" name="Status"/>
    <tableColumn id="8" xr3:uid="{BF1B2911-0D07-44D8-9959-6D4BB4D8B758}" name="Resolution Time (hrs)" dataDxfId="3"/>
    <tableColumn id="9" xr3:uid="{F22BC2CB-864D-4B99-BC7D-E702FE948DBB}" name="SLA Breached" dataDxfId="2">
      <calculatedColumnFormula>IF(Table1[[#This Row],[Resolution Time (hrs)]]&gt;=25,"Yes","No ")</calculatedColumnFormula>
    </tableColumn>
    <tableColumn id="10" xr3:uid="{C9A115FE-0A8C-466E-9DF3-AD234C7E7640}" name="Customer Satisfaction" dataDxfId="1"/>
    <tableColumn id="11" xr3:uid="{242AA970-A6E5-4A63-AA40-B8F972A11A23}" name="Months" dataDxfId="0">
      <calculatedColumnFormula>TEXT(Table1[[#This Row],[Date Raised]],"mmm-yyyy")</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9E805-E073-4A4D-91BE-693F76E7D63A}">
  <dimension ref="A1:W52"/>
  <sheetViews>
    <sheetView tabSelected="1" topLeftCell="A15" zoomScale="57" zoomScaleNormal="34" workbookViewId="0">
      <selection activeCell="AE11" sqref="AE11"/>
    </sheetView>
  </sheetViews>
  <sheetFormatPr defaultRowHeight="14.5" x14ac:dyDescent="0.35"/>
  <sheetData>
    <row r="1" spans="1:23" x14ac:dyDescent="0.35">
      <c r="A1" s="12"/>
      <c r="B1" s="12"/>
      <c r="C1" s="12"/>
      <c r="D1" s="12"/>
      <c r="E1" s="12"/>
      <c r="F1" s="12"/>
      <c r="G1" s="12"/>
      <c r="H1" s="12"/>
      <c r="I1" s="12"/>
      <c r="J1" s="12"/>
      <c r="K1" s="12"/>
      <c r="L1" s="12"/>
      <c r="M1" s="12"/>
      <c r="N1" s="12"/>
      <c r="O1" s="12"/>
      <c r="P1" s="12"/>
      <c r="Q1" s="12"/>
      <c r="R1" s="12"/>
      <c r="S1" s="12"/>
      <c r="T1" s="12"/>
      <c r="U1" s="12"/>
      <c r="V1" s="12"/>
      <c r="W1" s="12"/>
    </row>
    <row r="2" spans="1:23" x14ac:dyDescent="0.35">
      <c r="A2" s="12"/>
      <c r="B2" s="12"/>
      <c r="C2" s="12"/>
      <c r="D2" s="12"/>
      <c r="E2" s="12"/>
      <c r="F2" s="12"/>
      <c r="G2" s="12"/>
      <c r="H2" s="12"/>
      <c r="I2" s="12"/>
      <c r="J2" s="12"/>
      <c r="K2" s="12"/>
      <c r="L2" s="12"/>
      <c r="M2" s="12"/>
      <c r="N2" s="12"/>
      <c r="O2" s="12"/>
      <c r="P2" s="12"/>
      <c r="Q2" s="12"/>
      <c r="R2" s="12"/>
      <c r="S2" s="12"/>
      <c r="T2" s="12"/>
      <c r="U2" s="12"/>
      <c r="V2" s="12"/>
      <c r="W2" s="12"/>
    </row>
    <row r="3" spans="1:23" x14ac:dyDescent="0.35">
      <c r="A3" s="12"/>
      <c r="B3" s="12"/>
      <c r="C3" s="12"/>
      <c r="D3" s="12"/>
      <c r="E3" s="12"/>
      <c r="F3" s="12"/>
      <c r="G3" s="12"/>
      <c r="H3" s="12"/>
      <c r="I3" s="12"/>
      <c r="J3" s="12"/>
      <c r="K3" s="12"/>
      <c r="L3" s="12"/>
      <c r="M3" s="12"/>
      <c r="N3" s="12"/>
      <c r="O3" s="12"/>
      <c r="P3" s="12"/>
      <c r="Q3" s="12"/>
      <c r="R3" s="12"/>
      <c r="S3" s="12"/>
      <c r="T3" s="12"/>
      <c r="U3" s="12"/>
      <c r="V3" s="12"/>
      <c r="W3" s="12"/>
    </row>
    <row r="4" spans="1:23" x14ac:dyDescent="0.35">
      <c r="A4" s="12"/>
      <c r="B4" s="12"/>
      <c r="C4" s="12"/>
      <c r="D4" s="12"/>
      <c r="E4" s="12"/>
      <c r="F4" s="12"/>
      <c r="G4" s="12"/>
      <c r="H4" s="12"/>
      <c r="I4" s="12"/>
      <c r="J4" s="12"/>
      <c r="K4" s="12"/>
      <c r="L4" s="12"/>
      <c r="M4" s="12"/>
      <c r="N4" s="12"/>
      <c r="O4" s="12"/>
      <c r="P4" s="12"/>
      <c r="Q4" s="12"/>
      <c r="R4" s="12"/>
      <c r="S4" s="12"/>
      <c r="T4" s="12"/>
      <c r="U4" s="12"/>
      <c r="V4" s="12"/>
      <c r="W4" s="12"/>
    </row>
    <row r="5" spans="1:23" x14ac:dyDescent="0.35">
      <c r="A5" s="12"/>
      <c r="B5" s="12"/>
      <c r="C5" s="12"/>
      <c r="D5" s="12"/>
      <c r="E5" s="12"/>
      <c r="F5" s="12"/>
      <c r="G5" s="12"/>
      <c r="H5" s="12"/>
      <c r="I5" s="12"/>
      <c r="J5" s="12"/>
      <c r="K5" s="12"/>
      <c r="L5" s="12"/>
      <c r="M5" s="12"/>
      <c r="N5" s="12"/>
      <c r="O5" s="12"/>
      <c r="P5" s="12"/>
      <c r="Q5" s="12"/>
      <c r="R5" s="12"/>
      <c r="S5" s="12"/>
      <c r="T5" s="12"/>
      <c r="U5" s="12"/>
      <c r="V5" s="12"/>
      <c r="W5" s="12"/>
    </row>
    <row r="6" spans="1:23" x14ac:dyDescent="0.35">
      <c r="A6" s="12"/>
      <c r="B6" s="12"/>
      <c r="C6" s="12"/>
      <c r="D6" s="12"/>
      <c r="E6" s="12"/>
      <c r="F6" s="12"/>
      <c r="G6" s="12"/>
      <c r="H6" s="12"/>
      <c r="I6" s="12"/>
      <c r="J6" s="12"/>
      <c r="K6" s="12"/>
      <c r="L6" s="12"/>
      <c r="M6" s="12"/>
      <c r="N6" s="12"/>
      <c r="O6" s="12"/>
      <c r="P6" s="12"/>
      <c r="Q6" s="12"/>
      <c r="R6" s="12"/>
      <c r="S6" s="12"/>
      <c r="T6" s="12"/>
      <c r="U6" s="12"/>
      <c r="V6" s="12"/>
      <c r="W6" s="12"/>
    </row>
    <row r="7" spans="1:23" x14ac:dyDescent="0.35">
      <c r="A7" s="12"/>
      <c r="B7" s="12"/>
      <c r="C7" s="12"/>
      <c r="D7" s="12"/>
      <c r="E7" s="12"/>
      <c r="F7" s="12"/>
      <c r="G7" s="12"/>
      <c r="H7" s="12"/>
      <c r="I7" s="12"/>
      <c r="J7" s="12"/>
      <c r="K7" s="12"/>
      <c r="L7" s="12"/>
      <c r="M7" s="12"/>
      <c r="N7" s="12"/>
      <c r="O7" s="12"/>
      <c r="P7" s="12"/>
      <c r="Q7" s="12"/>
      <c r="R7" s="12"/>
      <c r="S7" s="12"/>
      <c r="T7" s="12"/>
      <c r="U7" s="12"/>
      <c r="V7" s="12"/>
      <c r="W7" s="12"/>
    </row>
    <row r="8" spans="1:23" x14ac:dyDescent="0.35">
      <c r="A8" s="12"/>
      <c r="B8" s="12"/>
      <c r="C8" s="12"/>
      <c r="D8" s="12"/>
      <c r="E8" s="12"/>
      <c r="F8" s="12"/>
      <c r="G8" s="12"/>
      <c r="H8" s="12"/>
      <c r="I8" s="12"/>
      <c r="J8" s="12"/>
      <c r="K8" s="12"/>
      <c r="L8" s="12"/>
      <c r="M8" s="12"/>
      <c r="N8" s="12"/>
      <c r="O8" s="12"/>
      <c r="P8" s="12"/>
      <c r="Q8" s="12"/>
      <c r="R8" s="12"/>
      <c r="S8" s="12"/>
      <c r="T8" s="12"/>
      <c r="U8" s="12"/>
      <c r="V8" s="12"/>
      <c r="W8" s="12"/>
    </row>
    <row r="9" spans="1:23" x14ac:dyDescent="0.35">
      <c r="A9" s="12"/>
      <c r="B9" s="12"/>
      <c r="C9" s="12"/>
      <c r="D9" s="12"/>
      <c r="E9" s="12"/>
      <c r="F9" s="12"/>
      <c r="G9" s="12"/>
      <c r="H9" s="12"/>
      <c r="I9" s="12"/>
      <c r="J9" s="12"/>
      <c r="K9" s="12"/>
      <c r="L9" s="12"/>
      <c r="M9" s="12"/>
      <c r="N9" s="12"/>
      <c r="O9" s="12"/>
      <c r="P9" s="12"/>
      <c r="Q9" s="12"/>
      <c r="R9" s="12"/>
      <c r="S9" s="12"/>
      <c r="T9" s="12"/>
      <c r="U9" s="12"/>
      <c r="V9" s="12"/>
      <c r="W9" s="12"/>
    </row>
    <row r="10" spans="1:23" x14ac:dyDescent="0.35">
      <c r="A10" s="12"/>
      <c r="B10" s="12"/>
      <c r="C10" s="12"/>
      <c r="D10" s="12"/>
      <c r="E10" s="12"/>
      <c r="F10" s="12"/>
      <c r="G10" s="12"/>
      <c r="H10" s="12"/>
      <c r="I10" s="12"/>
      <c r="J10" s="12"/>
      <c r="K10" s="12"/>
      <c r="L10" s="12"/>
      <c r="M10" s="12"/>
      <c r="N10" s="12"/>
      <c r="O10" s="12"/>
      <c r="P10" s="12"/>
      <c r="Q10" s="12"/>
      <c r="R10" s="12"/>
      <c r="S10" s="12"/>
      <c r="T10" s="12"/>
      <c r="U10" s="12"/>
      <c r="V10" s="12"/>
      <c r="W10" s="12"/>
    </row>
    <row r="11" spans="1:23" x14ac:dyDescent="0.35">
      <c r="A11" s="12"/>
      <c r="B11" s="12"/>
      <c r="C11" s="12"/>
      <c r="D11" s="12"/>
      <c r="E11" s="12"/>
      <c r="F11" s="12"/>
      <c r="G11" s="12"/>
      <c r="H11" s="12"/>
      <c r="I11" s="12"/>
      <c r="J11" s="12"/>
      <c r="K11" s="12"/>
      <c r="L11" s="12"/>
      <c r="M11" s="12"/>
      <c r="N11" s="12"/>
      <c r="O11" s="12"/>
      <c r="P11" s="12"/>
      <c r="Q11" s="12"/>
      <c r="R11" s="12"/>
      <c r="S11" s="12"/>
      <c r="T11" s="12"/>
      <c r="U11" s="12"/>
      <c r="V11" s="12"/>
      <c r="W11" s="12"/>
    </row>
    <row r="12" spans="1:23" x14ac:dyDescent="0.35">
      <c r="A12" s="12"/>
      <c r="B12" s="12"/>
      <c r="C12" s="12"/>
      <c r="D12" s="12"/>
      <c r="E12" s="12"/>
      <c r="F12" s="12"/>
      <c r="G12" s="12"/>
      <c r="H12" s="12"/>
      <c r="I12" s="12"/>
      <c r="J12" s="12"/>
      <c r="K12" s="12"/>
      <c r="L12" s="12"/>
      <c r="M12" s="12"/>
      <c r="N12" s="12"/>
      <c r="O12" s="12"/>
      <c r="P12" s="12"/>
      <c r="Q12" s="12"/>
      <c r="R12" s="12"/>
      <c r="S12" s="12"/>
      <c r="T12" s="12"/>
      <c r="U12" s="12"/>
      <c r="V12" s="12"/>
      <c r="W12" s="12"/>
    </row>
    <row r="13" spans="1:23" x14ac:dyDescent="0.35">
      <c r="A13" s="12"/>
      <c r="B13" s="12"/>
      <c r="C13" s="12"/>
      <c r="D13" s="12"/>
      <c r="E13" s="12"/>
      <c r="F13" s="12"/>
      <c r="G13" s="12"/>
      <c r="H13" s="12"/>
      <c r="I13" s="12"/>
      <c r="J13" s="12"/>
      <c r="K13" s="12"/>
      <c r="L13" s="12"/>
      <c r="M13" s="12"/>
      <c r="N13" s="12"/>
      <c r="O13" s="12"/>
      <c r="P13" s="12"/>
      <c r="Q13" s="12"/>
      <c r="R13" s="12"/>
      <c r="S13" s="12"/>
      <c r="T13" s="12"/>
      <c r="U13" s="12"/>
      <c r="V13" s="12"/>
      <c r="W13" s="12"/>
    </row>
    <row r="14" spans="1:23" x14ac:dyDescent="0.35">
      <c r="A14" s="12"/>
      <c r="B14" s="12"/>
      <c r="C14" s="12"/>
      <c r="D14" s="12"/>
      <c r="E14" s="12"/>
      <c r="F14" s="12"/>
      <c r="G14" s="12"/>
      <c r="H14" s="12"/>
      <c r="I14" s="12"/>
      <c r="J14" s="12"/>
      <c r="K14" s="12"/>
      <c r="L14" s="12"/>
      <c r="M14" s="12"/>
      <c r="N14" s="12"/>
      <c r="O14" s="12"/>
      <c r="P14" s="12"/>
      <c r="Q14" s="12"/>
      <c r="R14" s="12"/>
      <c r="S14" s="12"/>
      <c r="T14" s="12"/>
      <c r="U14" s="12"/>
      <c r="V14" s="12"/>
      <c r="W14" s="12"/>
    </row>
    <row r="15" spans="1:23" x14ac:dyDescent="0.35">
      <c r="A15" s="12"/>
      <c r="B15" s="12"/>
      <c r="C15" s="12"/>
      <c r="D15" s="12"/>
      <c r="E15" s="12"/>
      <c r="F15" s="12"/>
      <c r="G15" s="12"/>
      <c r="H15" s="12"/>
      <c r="I15" s="12"/>
      <c r="J15" s="12"/>
      <c r="K15" s="12"/>
      <c r="L15" s="12"/>
      <c r="M15" s="12"/>
      <c r="N15" s="12"/>
      <c r="O15" s="12"/>
      <c r="P15" s="12"/>
      <c r="Q15" s="12"/>
      <c r="R15" s="12"/>
      <c r="S15" s="12"/>
      <c r="T15" s="12"/>
      <c r="U15" s="12"/>
      <c r="V15" s="12"/>
      <c r="W15" s="12"/>
    </row>
    <row r="16" spans="1:23" x14ac:dyDescent="0.35">
      <c r="A16" s="12"/>
      <c r="B16" s="12"/>
      <c r="C16" s="12"/>
      <c r="D16" s="12"/>
      <c r="E16" s="12"/>
      <c r="F16" s="12"/>
      <c r="G16" s="12"/>
      <c r="H16" s="12"/>
      <c r="I16" s="12"/>
      <c r="J16" s="12"/>
      <c r="K16" s="12"/>
      <c r="L16" s="12"/>
      <c r="M16" s="12"/>
      <c r="N16" s="12"/>
      <c r="O16" s="12"/>
      <c r="P16" s="12"/>
      <c r="Q16" s="12"/>
      <c r="R16" s="12"/>
      <c r="S16" s="12"/>
      <c r="T16" s="12"/>
      <c r="U16" s="12"/>
      <c r="V16" s="12"/>
      <c r="W16" s="12"/>
    </row>
    <row r="17" spans="1:23" x14ac:dyDescent="0.35">
      <c r="A17" s="12"/>
      <c r="B17" s="12"/>
      <c r="C17" s="12"/>
      <c r="D17" s="12"/>
      <c r="E17" s="12"/>
      <c r="F17" s="12"/>
      <c r="G17" s="12"/>
      <c r="H17" s="12"/>
      <c r="I17" s="12"/>
      <c r="J17" s="12"/>
      <c r="K17" s="12"/>
      <c r="L17" s="12"/>
      <c r="M17" s="12"/>
      <c r="N17" s="12"/>
      <c r="O17" s="12"/>
      <c r="P17" s="12"/>
      <c r="Q17" s="12"/>
      <c r="R17" s="12"/>
      <c r="S17" s="12"/>
      <c r="T17" s="12"/>
      <c r="U17" s="12"/>
      <c r="V17" s="12"/>
      <c r="W17" s="12"/>
    </row>
    <row r="18" spans="1:23" x14ac:dyDescent="0.35">
      <c r="A18" s="12"/>
      <c r="B18" s="12"/>
      <c r="C18" s="12"/>
      <c r="D18" s="12"/>
      <c r="E18" s="12"/>
      <c r="F18" s="12"/>
      <c r="G18" s="12"/>
      <c r="H18" s="12"/>
      <c r="I18" s="12"/>
      <c r="J18" s="12"/>
      <c r="K18" s="12"/>
      <c r="L18" s="12"/>
      <c r="M18" s="12"/>
      <c r="N18" s="12"/>
      <c r="O18" s="12"/>
      <c r="P18" s="12"/>
      <c r="Q18" s="12"/>
      <c r="R18" s="12"/>
      <c r="S18" s="12"/>
      <c r="T18" s="12"/>
      <c r="U18" s="12"/>
      <c r="V18" s="12"/>
      <c r="W18" s="12"/>
    </row>
    <row r="19" spans="1:23" x14ac:dyDescent="0.35">
      <c r="A19" s="12"/>
      <c r="B19" s="12"/>
      <c r="C19" s="12"/>
      <c r="D19" s="12"/>
      <c r="E19" s="12"/>
      <c r="F19" s="12"/>
      <c r="G19" s="12"/>
      <c r="H19" s="12"/>
      <c r="I19" s="12"/>
      <c r="J19" s="12"/>
      <c r="K19" s="12"/>
      <c r="L19" s="12"/>
      <c r="M19" s="12"/>
      <c r="N19" s="12"/>
      <c r="O19" s="12"/>
      <c r="P19" s="12"/>
      <c r="Q19" s="12"/>
      <c r="R19" s="12"/>
      <c r="S19" s="12"/>
      <c r="T19" s="12"/>
      <c r="U19" s="12"/>
      <c r="V19" s="12"/>
      <c r="W19" s="12"/>
    </row>
    <row r="20" spans="1:23" x14ac:dyDescent="0.35">
      <c r="A20" s="12"/>
      <c r="B20" s="12"/>
      <c r="C20" s="12"/>
      <c r="D20" s="12"/>
      <c r="E20" s="12"/>
      <c r="F20" s="12"/>
      <c r="G20" s="12"/>
      <c r="H20" s="12"/>
      <c r="I20" s="12"/>
      <c r="J20" s="12"/>
      <c r="K20" s="12"/>
      <c r="L20" s="12"/>
      <c r="M20" s="12"/>
      <c r="N20" s="12"/>
      <c r="O20" s="12"/>
      <c r="P20" s="12"/>
      <c r="Q20" s="12"/>
      <c r="R20" s="12"/>
      <c r="S20" s="12"/>
      <c r="T20" s="12"/>
      <c r="U20" s="12"/>
      <c r="V20" s="12"/>
      <c r="W20" s="12"/>
    </row>
    <row r="21" spans="1:23" x14ac:dyDescent="0.35">
      <c r="A21" s="12"/>
      <c r="B21" s="12"/>
      <c r="C21" s="12"/>
      <c r="D21" s="12"/>
      <c r="E21" s="12"/>
      <c r="F21" s="12"/>
      <c r="G21" s="12"/>
      <c r="H21" s="12"/>
      <c r="I21" s="12"/>
      <c r="J21" s="12"/>
      <c r="K21" s="12"/>
      <c r="L21" s="12"/>
      <c r="M21" s="12"/>
      <c r="N21" s="12"/>
      <c r="O21" s="12"/>
      <c r="P21" s="12"/>
      <c r="Q21" s="12"/>
      <c r="R21" s="12"/>
      <c r="S21" s="12"/>
      <c r="T21" s="12"/>
      <c r="U21" s="12"/>
      <c r="V21" s="12"/>
      <c r="W21" s="12"/>
    </row>
    <row r="22" spans="1:23" x14ac:dyDescent="0.35">
      <c r="A22" s="12"/>
      <c r="B22" s="12"/>
      <c r="C22" s="12"/>
      <c r="D22" s="12"/>
      <c r="E22" s="12"/>
      <c r="F22" s="12"/>
      <c r="G22" s="12"/>
      <c r="H22" s="12"/>
      <c r="I22" s="12"/>
      <c r="J22" s="12"/>
      <c r="K22" s="12"/>
      <c r="L22" s="12"/>
      <c r="M22" s="12"/>
      <c r="N22" s="12"/>
      <c r="O22" s="12"/>
      <c r="P22" s="12"/>
      <c r="Q22" s="12"/>
      <c r="R22" s="12"/>
      <c r="S22" s="12"/>
      <c r="T22" s="12"/>
      <c r="U22" s="12"/>
      <c r="V22" s="12"/>
      <c r="W22" s="12"/>
    </row>
    <row r="23" spans="1:23" x14ac:dyDescent="0.35">
      <c r="A23" s="12"/>
      <c r="B23" s="12"/>
      <c r="C23" s="12"/>
      <c r="D23" s="12"/>
      <c r="E23" s="12"/>
      <c r="F23" s="12"/>
      <c r="G23" s="12"/>
      <c r="H23" s="12"/>
      <c r="I23" s="12"/>
      <c r="J23" s="12"/>
      <c r="K23" s="12"/>
      <c r="L23" s="12"/>
      <c r="M23" s="12"/>
      <c r="N23" s="12"/>
      <c r="O23" s="12"/>
      <c r="P23" s="12"/>
      <c r="Q23" s="12"/>
      <c r="R23" s="12"/>
      <c r="S23" s="12"/>
      <c r="T23" s="12"/>
      <c r="U23" s="12"/>
      <c r="V23" s="12"/>
      <c r="W23" s="12"/>
    </row>
    <row r="24" spans="1:23" x14ac:dyDescent="0.35">
      <c r="A24" s="12"/>
      <c r="B24" s="12"/>
      <c r="C24" s="12"/>
      <c r="D24" s="12"/>
      <c r="E24" s="12"/>
      <c r="F24" s="12"/>
      <c r="G24" s="12"/>
      <c r="H24" s="12"/>
      <c r="I24" s="12"/>
      <c r="J24" s="12"/>
      <c r="K24" s="12"/>
      <c r="L24" s="12"/>
      <c r="M24" s="12"/>
      <c r="N24" s="12"/>
      <c r="O24" s="12"/>
      <c r="P24" s="12"/>
      <c r="Q24" s="12"/>
      <c r="R24" s="12"/>
      <c r="S24" s="12"/>
      <c r="T24" s="12"/>
      <c r="U24" s="12"/>
      <c r="V24" s="12"/>
      <c r="W24" s="12"/>
    </row>
    <row r="25" spans="1:23" x14ac:dyDescent="0.35">
      <c r="A25" s="12"/>
      <c r="B25" s="12"/>
      <c r="C25" s="12"/>
      <c r="D25" s="12"/>
      <c r="E25" s="12"/>
      <c r="F25" s="12"/>
      <c r="G25" s="12"/>
      <c r="H25" s="12"/>
      <c r="I25" s="12"/>
      <c r="J25" s="12"/>
      <c r="K25" s="12"/>
      <c r="L25" s="12"/>
      <c r="M25" s="12"/>
      <c r="N25" s="12"/>
      <c r="O25" s="12"/>
      <c r="P25" s="12"/>
      <c r="Q25" s="12"/>
      <c r="R25" s="12"/>
      <c r="S25" s="12"/>
      <c r="T25" s="12"/>
      <c r="U25" s="12"/>
      <c r="V25" s="12"/>
      <c r="W25" s="12"/>
    </row>
    <row r="26" spans="1:23" x14ac:dyDescent="0.35">
      <c r="A26" s="12"/>
      <c r="B26" s="12"/>
      <c r="C26" s="12"/>
      <c r="D26" s="12"/>
      <c r="E26" s="12"/>
      <c r="F26" s="12"/>
      <c r="G26" s="12"/>
      <c r="H26" s="12"/>
      <c r="I26" s="12"/>
      <c r="J26" s="12"/>
      <c r="K26" s="12"/>
      <c r="L26" s="12"/>
      <c r="M26" s="12"/>
      <c r="N26" s="12"/>
      <c r="O26" s="12"/>
      <c r="P26" s="12"/>
      <c r="Q26" s="12"/>
      <c r="R26" s="12"/>
      <c r="S26" s="12"/>
      <c r="T26" s="12"/>
      <c r="U26" s="12"/>
      <c r="V26" s="12"/>
      <c r="W26" s="12"/>
    </row>
    <row r="27" spans="1:23" x14ac:dyDescent="0.35">
      <c r="A27" s="12"/>
      <c r="B27" s="12"/>
      <c r="C27" s="12"/>
      <c r="D27" s="12"/>
      <c r="E27" s="12"/>
      <c r="F27" s="12"/>
      <c r="G27" s="12"/>
      <c r="H27" s="12"/>
      <c r="I27" s="12"/>
      <c r="J27" s="12"/>
      <c r="K27" s="12"/>
      <c r="L27" s="12"/>
      <c r="M27" s="12"/>
      <c r="N27" s="12"/>
      <c r="O27" s="12"/>
      <c r="P27" s="12"/>
      <c r="Q27" s="12"/>
      <c r="R27" s="12"/>
      <c r="S27" s="12"/>
      <c r="T27" s="12"/>
      <c r="U27" s="12"/>
      <c r="V27" s="12"/>
      <c r="W27" s="12"/>
    </row>
    <row r="28" spans="1:23" x14ac:dyDescent="0.35">
      <c r="A28" s="12"/>
      <c r="B28" s="12"/>
      <c r="C28" s="12"/>
      <c r="D28" s="12"/>
      <c r="E28" s="12"/>
      <c r="F28" s="12"/>
      <c r="G28" s="12"/>
      <c r="H28" s="12"/>
      <c r="I28" s="12"/>
      <c r="J28" s="12"/>
      <c r="K28" s="12"/>
      <c r="L28" s="12"/>
      <c r="M28" s="12"/>
      <c r="N28" s="12"/>
      <c r="O28" s="12"/>
      <c r="P28" s="12"/>
      <c r="Q28" s="12"/>
      <c r="R28" s="12"/>
      <c r="S28" s="12"/>
      <c r="T28" s="12"/>
      <c r="U28" s="12"/>
      <c r="V28" s="12"/>
      <c r="W28" s="12"/>
    </row>
    <row r="29" spans="1:23" x14ac:dyDescent="0.35">
      <c r="A29" s="12"/>
      <c r="B29" s="12"/>
      <c r="C29" s="12"/>
      <c r="D29" s="12"/>
      <c r="E29" s="12"/>
      <c r="F29" s="12"/>
      <c r="G29" s="12"/>
      <c r="H29" s="12"/>
      <c r="I29" s="12"/>
      <c r="J29" s="12"/>
      <c r="K29" s="12"/>
      <c r="L29" s="12"/>
      <c r="M29" s="12"/>
      <c r="N29" s="12"/>
      <c r="O29" s="12"/>
      <c r="P29" s="12"/>
      <c r="Q29" s="12"/>
      <c r="R29" s="12"/>
      <c r="S29" s="12"/>
      <c r="T29" s="12"/>
      <c r="U29" s="12"/>
      <c r="V29" s="12"/>
      <c r="W29" s="12"/>
    </row>
    <row r="30" spans="1:23" x14ac:dyDescent="0.35">
      <c r="A30" s="12"/>
      <c r="B30" s="12"/>
      <c r="C30" s="12"/>
      <c r="D30" s="12"/>
      <c r="E30" s="12"/>
      <c r="F30" s="12"/>
      <c r="G30" s="12"/>
      <c r="H30" s="12"/>
      <c r="I30" s="12"/>
      <c r="J30" s="12"/>
      <c r="K30" s="12"/>
      <c r="L30" s="12"/>
      <c r="M30" s="12"/>
      <c r="N30" s="12"/>
      <c r="O30" s="12"/>
      <c r="P30" s="12"/>
      <c r="Q30" s="12"/>
      <c r="R30" s="12"/>
      <c r="S30" s="12"/>
      <c r="T30" s="12"/>
      <c r="U30" s="12"/>
      <c r="V30" s="12"/>
      <c r="W30" s="12"/>
    </row>
    <row r="31" spans="1:23" x14ac:dyDescent="0.35">
      <c r="A31" s="12"/>
      <c r="B31" s="12"/>
      <c r="C31" s="12"/>
      <c r="D31" s="12"/>
      <c r="E31" s="12"/>
      <c r="F31" s="12"/>
      <c r="G31" s="12"/>
      <c r="H31" s="12"/>
      <c r="I31" s="12"/>
      <c r="J31" s="12"/>
      <c r="K31" s="12"/>
      <c r="L31" s="12"/>
      <c r="M31" s="12"/>
      <c r="N31" s="12"/>
      <c r="O31" s="12"/>
      <c r="P31" s="12"/>
      <c r="Q31" s="12"/>
      <c r="R31" s="12"/>
      <c r="S31" s="12"/>
      <c r="T31" s="12"/>
      <c r="U31" s="12"/>
      <c r="V31" s="12"/>
      <c r="W31" s="12"/>
    </row>
    <row r="32" spans="1:23" x14ac:dyDescent="0.35">
      <c r="A32" s="12"/>
      <c r="B32" s="12"/>
      <c r="C32" s="12"/>
      <c r="D32" s="12"/>
      <c r="E32" s="12"/>
      <c r="F32" s="12"/>
      <c r="G32" s="12"/>
      <c r="H32" s="12"/>
      <c r="I32" s="12"/>
      <c r="J32" s="12"/>
      <c r="K32" s="12"/>
      <c r="L32" s="12"/>
      <c r="M32" s="12"/>
      <c r="N32" s="12"/>
      <c r="O32" s="12"/>
      <c r="P32" s="12"/>
      <c r="Q32" s="12"/>
      <c r="R32" s="12"/>
      <c r="S32" s="12"/>
      <c r="T32" s="12"/>
      <c r="U32" s="12"/>
      <c r="V32" s="12"/>
      <c r="W32" s="12"/>
    </row>
    <row r="33" spans="1:23" x14ac:dyDescent="0.35">
      <c r="A33" s="12"/>
      <c r="B33" s="12"/>
      <c r="C33" s="12"/>
      <c r="D33" s="12"/>
      <c r="E33" s="12"/>
      <c r="F33" s="12"/>
      <c r="G33" s="12"/>
      <c r="H33" s="12"/>
      <c r="I33" s="12"/>
      <c r="J33" s="12"/>
      <c r="K33" s="12"/>
      <c r="L33" s="12"/>
      <c r="M33" s="12"/>
      <c r="N33" s="12"/>
      <c r="O33" s="12"/>
      <c r="P33" s="12"/>
      <c r="Q33" s="12"/>
      <c r="R33" s="12"/>
      <c r="S33" s="12"/>
      <c r="T33" s="12"/>
      <c r="U33" s="12"/>
      <c r="V33" s="12"/>
      <c r="W33" s="12"/>
    </row>
    <row r="34" spans="1:23" x14ac:dyDescent="0.35">
      <c r="A34" s="12"/>
      <c r="B34" s="12"/>
      <c r="C34" s="12"/>
      <c r="D34" s="12"/>
      <c r="E34" s="12"/>
      <c r="F34" s="12"/>
      <c r="G34" s="12"/>
      <c r="H34" s="12"/>
      <c r="I34" s="12"/>
      <c r="J34" s="12"/>
      <c r="K34" s="12"/>
      <c r="L34" s="12"/>
      <c r="M34" s="12"/>
      <c r="N34" s="12"/>
      <c r="O34" s="12"/>
      <c r="P34" s="12"/>
      <c r="Q34" s="12"/>
      <c r="R34" s="12"/>
      <c r="S34" s="12"/>
      <c r="T34" s="12"/>
      <c r="U34" s="12"/>
      <c r="V34" s="12"/>
      <c r="W34" s="12"/>
    </row>
    <row r="35" spans="1:23" x14ac:dyDescent="0.35">
      <c r="A35" s="12"/>
      <c r="B35" s="12"/>
      <c r="C35" s="12"/>
      <c r="D35" s="12"/>
      <c r="E35" s="12"/>
      <c r="F35" s="12"/>
      <c r="G35" s="12"/>
      <c r="H35" s="12"/>
      <c r="I35" s="12"/>
      <c r="J35" s="12"/>
      <c r="K35" s="12"/>
      <c r="L35" s="12"/>
      <c r="M35" s="12"/>
      <c r="N35" s="12"/>
      <c r="O35" s="12"/>
      <c r="P35" s="12"/>
      <c r="Q35" s="12"/>
      <c r="R35" s="12"/>
      <c r="S35" s="12"/>
      <c r="T35" s="12"/>
      <c r="U35" s="12"/>
      <c r="V35" s="12"/>
      <c r="W35" s="12"/>
    </row>
    <row r="36" spans="1:23" x14ac:dyDescent="0.35">
      <c r="A36" s="12"/>
      <c r="B36" s="12"/>
      <c r="C36" s="12"/>
      <c r="D36" s="12"/>
      <c r="E36" s="12"/>
      <c r="F36" s="12"/>
      <c r="G36" s="12"/>
      <c r="H36" s="12"/>
      <c r="I36" s="12"/>
      <c r="J36" s="12"/>
      <c r="K36" s="12"/>
      <c r="L36" s="12"/>
      <c r="M36" s="12"/>
      <c r="N36" s="12"/>
      <c r="O36" s="12"/>
      <c r="P36" s="12"/>
      <c r="Q36" s="12"/>
      <c r="R36" s="12"/>
      <c r="S36" s="12"/>
      <c r="T36" s="12"/>
      <c r="U36" s="12"/>
      <c r="V36" s="12"/>
      <c r="W36" s="12"/>
    </row>
    <row r="37" spans="1:23" x14ac:dyDescent="0.35">
      <c r="A37" s="12"/>
      <c r="B37" s="12"/>
      <c r="C37" s="12"/>
      <c r="D37" s="12"/>
      <c r="E37" s="12"/>
      <c r="F37" s="12"/>
      <c r="G37" s="12"/>
      <c r="H37" s="12"/>
      <c r="I37" s="12"/>
      <c r="J37" s="12"/>
      <c r="K37" s="12"/>
      <c r="L37" s="12"/>
      <c r="M37" s="12"/>
      <c r="N37" s="12"/>
      <c r="O37" s="12"/>
      <c r="P37" s="12"/>
      <c r="Q37" s="12"/>
      <c r="R37" s="12"/>
      <c r="S37" s="12"/>
      <c r="T37" s="12"/>
      <c r="U37" s="12"/>
      <c r="V37" s="12"/>
      <c r="W37" s="12"/>
    </row>
    <row r="38" spans="1:23" x14ac:dyDescent="0.35">
      <c r="A38" s="12"/>
      <c r="B38" s="12"/>
      <c r="C38" s="12"/>
      <c r="D38" s="12"/>
      <c r="E38" s="12"/>
      <c r="F38" s="12"/>
      <c r="G38" s="12"/>
      <c r="H38" s="12"/>
      <c r="I38" s="12"/>
      <c r="J38" s="12"/>
      <c r="K38" s="12"/>
      <c r="L38" s="12"/>
      <c r="M38" s="12"/>
      <c r="N38" s="12"/>
      <c r="O38" s="12"/>
      <c r="P38" s="12"/>
      <c r="Q38" s="12"/>
      <c r="R38" s="12"/>
      <c r="S38" s="12"/>
      <c r="T38" s="12"/>
      <c r="U38" s="12"/>
      <c r="V38" s="12"/>
      <c r="W38" s="12"/>
    </row>
    <row r="39" spans="1:23" x14ac:dyDescent="0.35">
      <c r="A39" s="12"/>
      <c r="B39" s="12"/>
      <c r="C39" s="12"/>
      <c r="D39" s="12"/>
      <c r="E39" s="12"/>
      <c r="F39" s="12"/>
      <c r="G39" s="12"/>
      <c r="H39" s="12"/>
      <c r="I39" s="12"/>
      <c r="J39" s="12"/>
      <c r="K39" s="12"/>
      <c r="L39" s="12"/>
      <c r="M39" s="12"/>
      <c r="N39" s="12"/>
      <c r="O39" s="12"/>
      <c r="P39" s="12"/>
      <c r="Q39" s="12"/>
      <c r="R39" s="12"/>
      <c r="S39" s="12"/>
      <c r="T39" s="12"/>
      <c r="U39" s="12"/>
      <c r="V39" s="12"/>
      <c r="W39" s="12"/>
    </row>
    <row r="40" spans="1:23" x14ac:dyDescent="0.35">
      <c r="A40" s="12"/>
      <c r="B40" s="12"/>
      <c r="C40" s="12"/>
      <c r="D40" s="12"/>
      <c r="E40" s="12"/>
      <c r="F40" s="12"/>
      <c r="G40" s="12"/>
      <c r="H40" s="12"/>
      <c r="I40" s="12"/>
      <c r="J40" s="12"/>
      <c r="K40" s="12"/>
      <c r="L40" s="12"/>
      <c r="M40" s="12"/>
      <c r="N40" s="12"/>
      <c r="O40" s="12"/>
      <c r="P40" s="12"/>
      <c r="Q40" s="12"/>
      <c r="R40" s="12"/>
      <c r="S40" s="12"/>
      <c r="T40" s="12"/>
      <c r="U40" s="12"/>
      <c r="V40" s="12"/>
      <c r="W40" s="12"/>
    </row>
    <row r="41" spans="1:23" x14ac:dyDescent="0.35">
      <c r="A41" s="12"/>
      <c r="B41" s="12"/>
      <c r="C41" s="12"/>
      <c r="D41" s="12"/>
      <c r="E41" s="12"/>
      <c r="F41" s="12"/>
      <c r="G41" s="12"/>
      <c r="H41" s="12"/>
      <c r="I41" s="12"/>
      <c r="J41" s="12"/>
      <c r="K41" s="12"/>
      <c r="L41" s="12"/>
      <c r="M41" s="12"/>
      <c r="N41" s="12"/>
      <c r="O41" s="12"/>
      <c r="P41" s="12"/>
      <c r="Q41" s="12"/>
      <c r="R41" s="12"/>
      <c r="S41" s="12"/>
      <c r="T41" s="12"/>
      <c r="U41" s="12"/>
      <c r="V41" s="12"/>
      <c r="W41" s="12"/>
    </row>
    <row r="42" spans="1:23" x14ac:dyDescent="0.35">
      <c r="A42" s="12"/>
      <c r="B42" s="12"/>
      <c r="C42" s="12"/>
      <c r="D42" s="12"/>
      <c r="E42" s="12"/>
      <c r="F42" s="12"/>
      <c r="G42" s="12"/>
      <c r="H42" s="12"/>
      <c r="I42" s="12"/>
      <c r="J42" s="12"/>
      <c r="K42" s="12"/>
      <c r="L42" s="12"/>
      <c r="M42" s="12"/>
      <c r="N42" s="12"/>
      <c r="O42" s="12"/>
      <c r="P42" s="12"/>
      <c r="Q42" s="12"/>
      <c r="R42" s="12"/>
      <c r="S42" s="12"/>
      <c r="T42" s="12"/>
      <c r="U42" s="12"/>
      <c r="V42" s="12"/>
      <c r="W42" s="12"/>
    </row>
    <row r="43" spans="1:23" x14ac:dyDescent="0.35">
      <c r="A43" s="12"/>
      <c r="B43" s="12"/>
      <c r="C43" s="12"/>
      <c r="D43" s="12"/>
      <c r="E43" s="12"/>
      <c r="F43" s="12"/>
      <c r="G43" s="12"/>
      <c r="H43" s="12"/>
      <c r="I43" s="12"/>
      <c r="J43" s="12"/>
      <c r="K43" s="12"/>
      <c r="L43" s="12"/>
      <c r="M43" s="12"/>
      <c r="N43" s="12"/>
      <c r="O43" s="12"/>
      <c r="P43" s="12"/>
      <c r="Q43" s="12"/>
      <c r="R43" s="12"/>
      <c r="S43" s="12"/>
      <c r="T43" s="12"/>
      <c r="U43" s="12"/>
      <c r="V43" s="12"/>
      <c r="W43" s="12"/>
    </row>
    <row r="44" spans="1:23" x14ac:dyDescent="0.35">
      <c r="A44" s="12"/>
      <c r="B44" s="12"/>
      <c r="C44" s="12"/>
      <c r="D44" s="12"/>
      <c r="E44" s="12"/>
      <c r="F44" s="12"/>
      <c r="G44" s="12"/>
      <c r="H44" s="12"/>
      <c r="I44" s="12"/>
      <c r="J44" s="12"/>
      <c r="K44" s="12"/>
      <c r="L44" s="12"/>
      <c r="M44" s="12"/>
      <c r="N44" s="12"/>
      <c r="O44" s="12"/>
      <c r="P44" s="12"/>
      <c r="Q44" s="12"/>
      <c r="R44" s="12"/>
      <c r="S44" s="12"/>
      <c r="T44" s="12"/>
      <c r="U44" s="12"/>
      <c r="V44" s="12"/>
      <c r="W44" s="12"/>
    </row>
    <row r="45" spans="1:23" x14ac:dyDescent="0.35">
      <c r="A45" s="12"/>
      <c r="B45" s="12"/>
      <c r="C45" s="12"/>
      <c r="D45" s="12"/>
      <c r="E45" s="12"/>
      <c r="F45" s="12"/>
      <c r="G45" s="12"/>
      <c r="H45" s="12"/>
      <c r="I45" s="12"/>
      <c r="J45" s="12"/>
      <c r="K45" s="12"/>
      <c r="L45" s="12"/>
      <c r="M45" s="12"/>
      <c r="N45" s="12"/>
      <c r="O45" s="12"/>
      <c r="P45" s="12"/>
      <c r="Q45" s="12"/>
      <c r="R45" s="12"/>
      <c r="S45" s="12"/>
      <c r="T45" s="12"/>
      <c r="U45" s="12"/>
      <c r="V45" s="12"/>
      <c r="W45" s="12"/>
    </row>
    <row r="46" spans="1:23" x14ac:dyDescent="0.35">
      <c r="A46" s="12"/>
      <c r="B46" s="12"/>
      <c r="C46" s="12"/>
      <c r="D46" s="12"/>
      <c r="E46" s="12"/>
      <c r="F46" s="12"/>
      <c r="G46" s="12"/>
      <c r="H46" s="12"/>
      <c r="I46" s="12"/>
      <c r="J46" s="12"/>
      <c r="K46" s="12"/>
      <c r="L46" s="12"/>
      <c r="M46" s="12"/>
      <c r="N46" s="12"/>
      <c r="O46" s="12"/>
      <c r="P46" s="12"/>
      <c r="Q46" s="12"/>
      <c r="R46" s="12"/>
      <c r="S46" s="12"/>
      <c r="T46" s="12"/>
      <c r="U46" s="12"/>
      <c r="V46" s="12"/>
      <c r="W46" s="12"/>
    </row>
    <row r="47" spans="1:23" x14ac:dyDescent="0.35">
      <c r="A47" s="12"/>
      <c r="B47" s="12"/>
      <c r="C47" s="12"/>
      <c r="D47" s="12"/>
      <c r="E47" s="12"/>
      <c r="F47" s="12"/>
      <c r="G47" s="12"/>
      <c r="H47" s="12"/>
      <c r="I47" s="12"/>
      <c r="J47" s="12"/>
      <c r="K47" s="12"/>
      <c r="L47" s="12"/>
      <c r="M47" s="12"/>
      <c r="N47" s="12"/>
      <c r="O47" s="12"/>
      <c r="P47" s="12"/>
      <c r="Q47" s="12"/>
      <c r="R47" s="12"/>
      <c r="S47" s="12"/>
      <c r="T47" s="12"/>
      <c r="U47" s="12"/>
      <c r="V47" s="12"/>
      <c r="W47" s="12"/>
    </row>
    <row r="48" spans="1:23" x14ac:dyDescent="0.35">
      <c r="A48" s="12"/>
      <c r="B48" s="12"/>
      <c r="C48" s="12"/>
      <c r="D48" s="12"/>
      <c r="E48" s="12"/>
      <c r="F48" s="12"/>
      <c r="G48" s="12"/>
      <c r="H48" s="12"/>
      <c r="I48" s="12"/>
      <c r="J48" s="12"/>
      <c r="K48" s="12"/>
      <c r="L48" s="12"/>
      <c r="M48" s="12"/>
      <c r="N48" s="12"/>
      <c r="O48" s="12"/>
      <c r="P48" s="12"/>
      <c r="Q48" s="12"/>
      <c r="R48" s="12"/>
      <c r="S48" s="12"/>
      <c r="T48" s="12"/>
      <c r="U48" s="12"/>
      <c r="V48" s="12"/>
      <c r="W48" s="12"/>
    </row>
    <row r="49" spans="1:23" x14ac:dyDescent="0.35">
      <c r="A49" s="12"/>
      <c r="B49" s="12"/>
      <c r="C49" s="12"/>
      <c r="D49" s="12"/>
      <c r="E49" s="12"/>
      <c r="F49" s="12"/>
      <c r="G49" s="12"/>
      <c r="H49" s="12"/>
      <c r="I49" s="12"/>
      <c r="J49" s="12"/>
      <c r="K49" s="12"/>
      <c r="L49" s="12"/>
      <c r="M49" s="12"/>
      <c r="N49" s="12"/>
      <c r="O49" s="12"/>
      <c r="P49" s="12"/>
      <c r="Q49" s="12"/>
      <c r="R49" s="12"/>
      <c r="S49" s="12"/>
      <c r="T49" s="12"/>
      <c r="U49" s="12"/>
      <c r="V49" s="12"/>
      <c r="W49" s="12"/>
    </row>
    <row r="50" spans="1:23" x14ac:dyDescent="0.35">
      <c r="A50" s="12"/>
      <c r="B50" s="12"/>
      <c r="C50" s="12"/>
      <c r="D50" s="12"/>
      <c r="E50" s="12"/>
      <c r="F50" s="12"/>
      <c r="G50" s="12"/>
      <c r="H50" s="12"/>
      <c r="I50" s="12"/>
      <c r="J50" s="12"/>
      <c r="K50" s="12"/>
      <c r="L50" s="12"/>
      <c r="M50" s="12"/>
      <c r="N50" s="12"/>
      <c r="O50" s="12"/>
      <c r="P50" s="12"/>
      <c r="Q50" s="12"/>
      <c r="R50" s="12"/>
      <c r="S50" s="12"/>
      <c r="T50" s="12"/>
      <c r="U50" s="12"/>
      <c r="V50" s="12"/>
      <c r="W50" s="12"/>
    </row>
    <row r="51" spans="1:23" x14ac:dyDescent="0.35">
      <c r="A51" s="12"/>
      <c r="B51" s="12"/>
      <c r="C51" s="12"/>
      <c r="D51" s="12"/>
      <c r="E51" s="12"/>
      <c r="F51" s="12"/>
      <c r="G51" s="12"/>
      <c r="H51" s="12"/>
      <c r="I51" s="12"/>
      <c r="J51" s="12"/>
      <c r="K51" s="12"/>
      <c r="L51" s="12"/>
      <c r="M51" s="12"/>
      <c r="N51" s="12"/>
      <c r="O51" s="12"/>
      <c r="P51" s="12"/>
      <c r="Q51" s="12"/>
      <c r="R51" s="12"/>
      <c r="S51" s="12"/>
      <c r="T51" s="12"/>
      <c r="U51" s="12"/>
      <c r="V51" s="12"/>
      <c r="W51" s="12"/>
    </row>
    <row r="52" spans="1:23" x14ac:dyDescent="0.35">
      <c r="A52" s="12"/>
      <c r="B52" s="12"/>
      <c r="C52" s="12"/>
      <c r="D52" s="12"/>
      <c r="E52" s="12"/>
      <c r="F52" s="12"/>
      <c r="G52" s="12"/>
      <c r="H52" s="12"/>
      <c r="I52" s="12"/>
      <c r="J52" s="12"/>
      <c r="K52" s="12"/>
      <c r="L52" s="12"/>
      <c r="M52" s="12"/>
      <c r="N52" s="12"/>
      <c r="O52" s="12"/>
      <c r="P52" s="12"/>
      <c r="Q52" s="12"/>
      <c r="R52" s="12"/>
      <c r="S52" s="12"/>
      <c r="T52" s="12"/>
      <c r="U52" s="12"/>
      <c r="V52" s="12"/>
      <c r="W52"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CEDEE-ABD4-425C-90E4-0EA4225997DB}">
  <dimension ref="A3:B10"/>
  <sheetViews>
    <sheetView workbookViewId="0">
      <selection activeCell="C15" sqref="C15"/>
    </sheetView>
  </sheetViews>
  <sheetFormatPr defaultRowHeight="14.5" x14ac:dyDescent="0.35"/>
  <cols>
    <col min="1" max="1" width="12.36328125" customWidth="1"/>
    <col min="2" max="2" width="11.36328125" customWidth="1"/>
  </cols>
  <sheetData>
    <row r="3" spans="1:2" x14ac:dyDescent="0.35">
      <c r="A3" s="2" t="s">
        <v>134</v>
      </c>
      <c r="B3" t="s">
        <v>137</v>
      </c>
    </row>
    <row r="4" spans="1:2" x14ac:dyDescent="0.35">
      <c r="A4" s="3" t="s">
        <v>114</v>
      </c>
      <c r="B4">
        <v>19</v>
      </c>
    </row>
    <row r="5" spans="1:2" x14ac:dyDescent="0.35">
      <c r="A5" s="3" t="s">
        <v>112</v>
      </c>
      <c r="B5">
        <v>14</v>
      </c>
    </row>
    <row r="6" spans="1:2" x14ac:dyDescent="0.35">
      <c r="A6" s="3" t="s">
        <v>113</v>
      </c>
      <c r="B6">
        <v>12</v>
      </c>
    </row>
    <row r="7" spans="1:2" x14ac:dyDescent="0.35">
      <c r="A7" s="3" t="s">
        <v>111</v>
      </c>
      <c r="B7">
        <v>20</v>
      </c>
    </row>
    <row r="8" spans="1:2" x14ac:dyDescent="0.35">
      <c r="A8" s="3" t="s">
        <v>110</v>
      </c>
      <c r="B8">
        <v>18</v>
      </c>
    </row>
    <row r="9" spans="1:2" x14ac:dyDescent="0.35">
      <c r="A9" s="3" t="s">
        <v>115</v>
      </c>
      <c r="B9">
        <v>17</v>
      </c>
    </row>
    <row r="10" spans="1:2" x14ac:dyDescent="0.35">
      <c r="A10" s="3" t="s">
        <v>135</v>
      </c>
      <c r="B10">
        <v>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C9717-792B-4B94-A499-37D82015626A}">
  <dimension ref="A3:B7"/>
  <sheetViews>
    <sheetView workbookViewId="0">
      <selection activeCell="V31" sqref="V31"/>
    </sheetView>
  </sheetViews>
  <sheetFormatPr defaultRowHeight="14.5" x14ac:dyDescent="0.35"/>
  <cols>
    <col min="1" max="1" width="12.36328125" customWidth="1"/>
    <col min="2" max="2" width="11.36328125" customWidth="1"/>
  </cols>
  <sheetData>
    <row r="3" spans="1:2" x14ac:dyDescent="0.35">
      <c r="A3" s="2" t="s">
        <v>134</v>
      </c>
      <c r="B3" t="s">
        <v>137</v>
      </c>
    </row>
    <row r="4" spans="1:2" x14ac:dyDescent="0.35">
      <c r="A4" s="3" t="s">
        <v>121</v>
      </c>
      <c r="B4">
        <v>40</v>
      </c>
    </row>
    <row r="5" spans="1:2" x14ac:dyDescent="0.35">
      <c r="A5" s="3" t="s">
        <v>122</v>
      </c>
      <c r="B5">
        <v>35</v>
      </c>
    </row>
    <row r="6" spans="1:2" x14ac:dyDescent="0.35">
      <c r="A6" s="3" t="s">
        <v>123</v>
      </c>
      <c r="B6">
        <v>25</v>
      </c>
    </row>
    <row r="7" spans="1:2" x14ac:dyDescent="0.35">
      <c r="A7" s="3" t="s">
        <v>135</v>
      </c>
      <c r="B7">
        <v>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57C17-3BD1-4BD4-8950-ABBB9F552AB2}">
  <dimension ref="A3:B15"/>
  <sheetViews>
    <sheetView workbookViewId="0">
      <selection activeCell="AB27" sqref="AB27"/>
    </sheetView>
  </sheetViews>
  <sheetFormatPr defaultRowHeight="14.5" x14ac:dyDescent="0.35"/>
  <cols>
    <col min="1" max="1" width="12.36328125" customWidth="1"/>
    <col min="2" max="2" width="28.36328125" bestFit="1" customWidth="1"/>
  </cols>
  <sheetData>
    <row r="3" spans="1:2" x14ac:dyDescent="0.35">
      <c r="A3" s="2" t="s">
        <v>134</v>
      </c>
      <c r="B3" t="s">
        <v>138</v>
      </c>
    </row>
    <row r="4" spans="1:2" x14ac:dyDescent="0.35">
      <c r="A4" s="3" t="s">
        <v>127</v>
      </c>
      <c r="B4" s="9">
        <v>26.923076923076923</v>
      </c>
    </row>
    <row r="5" spans="1:2" x14ac:dyDescent="0.35">
      <c r="A5" s="3" t="s">
        <v>125</v>
      </c>
      <c r="B5" s="9">
        <v>19.739130434782609</v>
      </c>
    </row>
    <row r="6" spans="1:2" x14ac:dyDescent="0.35">
      <c r="A6" s="3" t="s">
        <v>128</v>
      </c>
      <c r="B6" s="9">
        <v>25.944444444444443</v>
      </c>
    </row>
    <row r="7" spans="1:2" x14ac:dyDescent="0.35">
      <c r="A7" s="3" t="s">
        <v>129</v>
      </c>
      <c r="B7" s="9">
        <v>22.333333333333332</v>
      </c>
    </row>
    <row r="8" spans="1:2" x14ac:dyDescent="0.35">
      <c r="A8" s="3" t="s">
        <v>124</v>
      </c>
      <c r="B8" s="9">
        <v>23</v>
      </c>
    </row>
    <row r="9" spans="1:2" x14ac:dyDescent="0.35">
      <c r="A9" s="3" t="s">
        <v>126</v>
      </c>
      <c r="B9" s="9">
        <v>21</v>
      </c>
    </row>
    <row r="10" spans="1:2" x14ac:dyDescent="0.35">
      <c r="A10" s="3" t="s">
        <v>135</v>
      </c>
      <c r="B10" s="9">
        <v>22.93</v>
      </c>
    </row>
    <row r="13" spans="1:2" x14ac:dyDescent="0.35">
      <c r="B13" s="9"/>
    </row>
    <row r="14" spans="1:2" x14ac:dyDescent="0.35">
      <c r="B14" s="9"/>
    </row>
    <row r="15" spans="1:2" x14ac:dyDescent="0.35">
      <c r="B15" s="9"/>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B33CB-317B-4173-8F84-0B23E764740D}">
  <dimension ref="A3:B10"/>
  <sheetViews>
    <sheetView topLeftCell="G1" workbookViewId="0">
      <selection activeCell="I18" sqref="I18"/>
    </sheetView>
  </sheetViews>
  <sheetFormatPr defaultRowHeight="14.5" x14ac:dyDescent="0.35"/>
  <cols>
    <col min="1" max="1" width="12.36328125" customWidth="1"/>
    <col min="2" max="2" width="12.6328125" customWidth="1"/>
  </cols>
  <sheetData>
    <row r="3" spans="1:2" x14ac:dyDescent="0.35">
      <c r="A3" s="2" t="s">
        <v>134</v>
      </c>
      <c r="B3" t="s">
        <v>146</v>
      </c>
    </row>
    <row r="4" spans="1:2" x14ac:dyDescent="0.35">
      <c r="A4" s="3" t="s">
        <v>140</v>
      </c>
      <c r="B4">
        <v>14</v>
      </c>
    </row>
    <row r="5" spans="1:2" x14ac:dyDescent="0.35">
      <c r="A5" s="3" t="s">
        <v>141</v>
      </c>
      <c r="B5">
        <v>19</v>
      </c>
    </row>
    <row r="6" spans="1:2" x14ac:dyDescent="0.35">
      <c r="A6" s="3" t="s">
        <v>142</v>
      </c>
      <c r="B6">
        <v>18</v>
      </c>
    </row>
    <row r="7" spans="1:2" x14ac:dyDescent="0.35">
      <c r="A7" s="3" t="s">
        <v>143</v>
      </c>
      <c r="B7">
        <v>14</v>
      </c>
    </row>
    <row r="8" spans="1:2" x14ac:dyDescent="0.35">
      <c r="A8" s="3" t="s">
        <v>144</v>
      </c>
      <c r="B8">
        <v>19</v>
      </c>
    </row>
    <row r="9" spans="1:2" x14ac:dyDescent="0.35">
      <c r="A9" s="3" t="s">
        <v>145</v>
      </c>
      <c r="B9">
        <v>16</v>
      </c>
    </row>
    <row r="10" spans="1:2" x14ac:dyDescent="0.35">
      <c r="A10" s="3" t="s">
        <v>135</v>
      </c>
      <c r="B10">
        <v>100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E137F-4955-4CAE-B40D-63CE1FBFD40F}">
  <dimension ref="A1:C4"/>
  <sheetViews>
    <sheetView workbookViewId="0">
      <selection activeCell="J7" sqref="J7"/>
    </sheetView>
  </sheetViews>
  <sheetFormatPr defaultRowHeight="14.5" x14ac:dyDescent="0.35"/>
  <cols>
    <col min="1" max="1" width="12.36328125" customWidth="1"/>
    <col min="2" max="2" width="15.90625" customWidth="1"/>
    <col min="3" max="3" width="14" customWidth="1"/>
  </cols>
  <sheetData>
    <row r="1" spans="1:3" x14ac:dyDescent="0.35">
      <c r="A1" s="2" t="s">
        <v>134</v>
      </c>
      <c r="B1" t="s">
        <v>136</v>
      </c>
      <c r="C1" t="s">
        <v>147</v>
      </c>
    </row>
    <row r="2" spans="1:3" x14ac:dyDescent="0.35">
      <c r="A2" s="3" t="s">
        <v>148</v>
      </c>
      <c r="B2">
        <v>49</v>
      </c>
      <c r="C2" s="8">
        <f>B2/$B$4</f>
        <v>0.49</v>
      </c>
    </row>
    <row r="3" spans="1:3" x14ac:dyDescent="0.35">
      <c r="A3" s="3" t="s">
        <v>133</v>
      </c>
      <c r="B3">
        <v>51</v>
      </c>
      <c r="C3" s="8">
        <f>B3/$B$4</f>
        <v>0.51</v>
      </c>
    </row>
    <row r="4" spans="1:3" x14ac:dyDescent="0.35">
      <c r="A4" s="3" t="s">
        <v>135</v>
      </c>
      <c r="B4">
        <v>100</v>
      </c>
      <c r="C4" s="8"/>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opLeftCell="G1" workbookViewId="0">
      <selection activeCell="K2" sqref="K2"/>
    </sheetView>
  </sheetViews>
  <sheetFormatPr defaultRowHeight="14.5" x14ac:dyDescent="0.35"/>
  <cols>
    <col min="1" max="1" width="12.6328125" customWidth="1"/>
    <col min="2" max="2" width="17.81640625" customWidth="1"/>
    <col min="3" max="3" width="15.6328125" customWidth="1"/>
    <col min="4" max="4" width="14.08984375" customWidth="1"/>
    <col min="5" max="5" width="11.54296875" customWidth="1"/>
    <col min="6" max="6" width="18.1796875" customWidth="1"/>
    <col min="7" max="7" width="10.6328125" customWidth="1"/>
    <col min="8" max="8" width="23.36328125" style="7" customWidth="1"/>
    <col min="9" max="9" width="16.54296875" customWidth="1"/>
    <col min="10" max="10" width="23.90625" customWidth="1"/>
    <col min="11" max="11" width="11.90625" style="4" bestFit="1" customWidth="1"/>
    <col min="13" max="13" width="14.36328125" bestFit="1" customWidth="1"/>
  </cols>
  <sheetData>
    <row r="1" spans="1:13" x14ac:dyDescent="0.35">
      <c r="A1" s="1" t="s">
        <v>0</v>
      </c>
      <c r="B1" s="5" t="s">
        <v>1</v>
      </c>
      <c r="C1" s="1" t="s">
        <v>2</v>
      </c>
      <c r="D1" s="1" t="s">
        <v>3</v>
      </c>
      <c r="E1" s="1" t="s">
        <v>4</v>
      </c>
      <c r="F1" s="1" t="s">
        <v>5</v>
      </c>
      <c r="G1" s="1" t="s">
        <v>6</v>
      </c>
      <c r="H1" s="6" t="s">
        <v>7</v>
      </c>
      <c r="I1" s="1" t="s">
        <v>8</v>
      </c>
      <c r="J1" s="6" t="s">
        <v>9</v>
      </c>
      <c r="K1" s="5" t="s">
        <v>139</v>
      </c>
      <c r="M1" s="11" t="s">
        <v>150</v>
      </c>
    </row>
    <row r="2" spans="1:13" x14ac:dyDescent="0.35">
      <c r="A2" t="s">
        <v>10</v>
      </c>
      <c r="B2" s="4">
        <v>45760</v>
      </c>
      <c r="C2" t="s">
        <v>110</v>
      </c>
      <c r="D2" t="s">
        <v>116</v>
      </c>
      <c r="E2" t="s">
        <v>121</v>
      </c>
      <c r="F2" t="str">
        <f>PROPER("Ramesh")</f>
        <v>Ramesh</v>
      </c>
      <c r="G2" t="s">
        <v>130</v>
      </c>
      <c r="H2" s="7">
        <v>12</v>
      </c>
      <c r="I2" t="str">
        <f>IF(Table1[[#This Row],[Resolution Time (hrs)]]&gt;=25,"Yes","No ")</f>
        <v xml:space="preserve">No </v>
      </c>
      <c r="J2" s="10" t="s">
        <v>149</v>
      </c>
      <c r="K2" s="4" t="str">
        <f>TEXT(Table1[[#This Row],[Date Raised]],"mmm-yyyy")</f>
        <v>Apr-2025</v>
      </c>
      <c r="M2" t="str">
        <f>PROPER(Table1[[#This Row],[Assigned Agent]])</f>
        <v>Ramesh</v>
      </c>
    </row>
    <row r="3" spans="1:13" x14ac:dyDescent="0.35">
      <c r="A3" t="s">
        <v>11</v>
      </c>
      <c r="B3" s="4">
        <v>45837</v>
      </c>
      <c r="C3" t="s">
        <v>111</v>
      </c>
      <c r="D3" t="s">
        <v>117</v>
      </c>
      <c r="E3" t="s">
        <v>122</v>
      </c>
      <c r="F3" t="s">
        <v>125</v>
      </c>
      <c r="G3" t="s">
        <v>131</v>
      </c>
      <c r="H3" s="7">
        <v>10</v>
      </c>
      <c r="I3" t="str">
        <f>IF(Table1[[#This Row],[Resolution Time (hrs)]]&gt;=25,"Yes","No ")</f>
        <v xml:space="preserve">No </v>
      </c>
      <c r="J3" s="10">
        <v>5</v>
      </c>
      <c r="K3" s="4" t="str">
        <f>TEXT(Table1[[#This Row],[Date Raised]],"mmm-yyyy")</f>
        <v>Jun-2025</v>
      </c>
      <c r="M3" t="str">
        <f>PROPER(Table1[[#This Row],[Assigned Agent]])</f>
        <v>Karan</v>
      </c>
    </row>
    <row r="4" spans="1:13" x14ac:dyDescent="0.35">
      <c r="A4" t="s">
        <v>12</v>
      </c>
      <c r="B4" s="4">
        <v>45750</v>
      </c>
      <c r="C4" t="s">
        <v>110</v>
      </c>
      <c r="D4" t="s">
        <v>118</v>
      </c>
      <c r="E4" t="s">
        <v>121</v>
      </c>
      <c r="F4" t="s">
        <v>125</v>
      </c>
      <c r="G4" t="s">
        <v>131</v>
      </c>
      <c r="H4" s="7">
        <v>32</v>
      </c>
      <c r="I4" t="str">
        <f>IF(Table1[[#This Row],[Resolution Time (hrs)]]&gt;=25,"Yes","No ")</f>
        <v>Yes</v>
      </c>
      <c r="J4" s="10">
        <v>3</v>
      </c>
      <c r="K4" s="4" t="str">
        <f>TEXT(Table1[[#This Row],[Date Raised]],"mmm-yyyy")</f>
        <v>Apr-2025</v>
      </c>
      <c r="M4" t="str">
        <f>PROPER(Table1[[#This Row],[Assigned Agent]])</f>
        <v>Karan</v>
      </c>
    </row>
    <row r="5" spans="1:13" x14ac:dyDescent="0.35">
      <c r="A5" t="s">
        <v>13</v>
      </c>
      <c r="B5" s="4">
        <v>45672</v>
      </c>
      <c r="C5" t="s">
        <v>112</v>
      </c>
      <c r="D5" t="s">
        <v>117</v>
      </c>
      <c r="E5" t="s">
        <v>123</v>
      </c>
      <c r="F5" t="s">
        <v>126</v>
      </c>
      <c r="G5" t="s">
        <v>131</v>
      </c>
      <c r="H5" s="7">
        <v>16</v>
      </c>
      <c r="I5" t="str">
        <f>IF(Table1[[#This Row],[Resolution Time (hrs)]]&gt;=25,"Yes","No ")</f>
        <v xml:space="preserve">No </v>
      </c>
      <c r="J5" s="10">
        <v>3</v>
      </c>
      <c r="K5" s="4" t="str">
        <f>TEXT(Table1[[#This Row],[Date Raised]],"mmm-yyyy")</f>
        <v>Jan-2025</v>
      </c>
      <c r="M5" t="str">
        <f>PROPER(Table1[[#This Row],[Assigned Agent]])</f>
        <v>Sneha</v>
      </c>
    </row>
    <row r="6" spans="1:13" x14ac:dyDescent="0.35">
      <c r="A6" t="s">
        <v>14</v>
      </c>
      <c r="B6" s="4">
        <v>45764</v>
      </c>
      <c r="C6" t="s">
        <v>113</v>
      </c>
      <c r="D6" t="s">
        <v>117</v>
      </c>
      <c r="E6" t="s">
        <v>121</v>
      </c>
      <c r="F6" t="s">
        <v>125</v>
      </c>
      <c r="G6" t="s">
        <v>131</v>
      </c>
      <c r="H6" s="7">
        <v>8</v>
      </c>
      <c r="I6" t="str">
        <f>IF(Table1[[#This Row],[Resolution Time (hrs)]]&gt;=25,"Yes","No ")</f>
        <v xml:space="preserve">No </v>
      </c>
      <c r="J6" s="10">
        <v>5</v>
      </c>
      <c r="K6" s="4" t="str">
        <f>TEXT(Table1[[#This Row],[Date Raised]],"mmm-yyyy")</f>
        <v>Apr-2025</v>
      </c>
      <c r="M6" t="str">
        <f>PROPER(Table1[[#This Row],[Assigned Agent]])</f>
        <v>Karan</v>
      </c>
    </row>
    <row r="7" spans="1:13" x14ac:dyDescent="0.35">
      <c r="A7" t="s">
        <v>15</v>
      </c>
      <c r="B7" s="4">
        <v>45729</v>
      </c>
      <c r="C7" t="s">
        <v>113</v>
      </c>
      <c r="D7" t="s">
        <v>116</v>
      </c>
      <c r="E7" t="s">
        <v>123</v>
      </c>
      <c r="F7" t="s">
        <v>127</v>
      </c>
      <c r="G7" t="s">
        <v>131</v>
      </c>
      <c r="H7" s="7">
        <v>38</v>
      </c>
      <c r="I7" t="str">
        <f>IF(Table1[[#This Row],[Resolution Time (hrs)]]&gt;=25,"Yes","No ")</f>
        <v>Yes</v>
      </c>
      <c r="J7" s="10">
        <v>5</v>
      </c>
      <c r="K7" s="4" t="str">
        <f>TEXT(Table1[[#This Row],[Date Raised]],"mmm-yyyy")</f>
        <v>Mar-2025</v>
      </c>
      <c r="M7" t="str">
        <f>PROPER(Table1[[#This Row],[Assigned Agent]])</f>
        <v>Amit</v>
      </c>
    </row>
    <row r="8" spans="1:13" x14ac:dyDescent="0.35">
      <c r="A8" t="s">
        <v>16</v>
      </c>
      <c r="B8" s="4">
        <v>45678</v>
      </c>
      <c r="C8" t="s">
        <v>111</v>
      </c>
      <c r="D8" t="s">
        <v>117</v>
      </c>
      <c r="E8" t="s">
        <v>121</v>
      </c>
      <c r="F8" t="s">
        <v>128</v>
      </c>
      <c r="G8" t="s">
        <v>131</v>
      </c>
      <c r="H8" s="7">
        <v>12</v>
      </c>
      <c r="I8" t="str">
        <f>IF(Table1[[#This Row],[Resolution Time (hrs)]]&gt;=25,"Yes","No ")</f>
        <v xml:space="preserve">No </v>
      </c>
      <c r="J8" s="10">
        <v>5</v>
      </c>
      <c r="K8" s="4" t="str">
        <f>TEXT(Table1[[#This Row],[Date Raised]],"mmm-yyyy")</f>
        <v>Jan-2025</v>
      </c>
      <c r="M8" t="str">
        <f>PROPER(Table1[[#This Row],[Assigned Agent]])</f>
        <v>Neha</v>
      </c>
    </row>
    <row r="9" spans="1:13" x14ac:dyDescent="0.35">
      <c r="A9" t="s">
        <v>17</v>
      </c>
      <c r="B9" s="4">
        <v>45760</v>
      </c>
      <c r="C9" t="s">
        <v>114</v>
      </c>
      <c r="D9" t="s">
        <v>119</v>
      </c>
      <c r="E9" t="s">
        <v>121</v>
      </c>
      <c r="F9" t="s">
        <v>129</v>
      </c>
      <c r="G9" t="s">
        <v>131</v>
      </c>
      <c r="H9" s="7">
        <v>24</v>
      </c>
      <c r="I9" t="str">
        <f>IF(Table1[[#This Row],[Resolution Time (hrs)]]&gt;=25,"Yes","No ")</f>
        <v xml:space="preserve">No </v>
      </c>
      <c r="J9" s="10">
        <v>5</v>
      </c>
      <c r="K9" s="4" t="str">
        <f>TEXT(Table1[[#This Row],[Date Raised]],"mmm-yyyy")</f>
        <v>Apr-2025</v>
      </c>
      <c r="M9" t="str">
        <f>PROPER(Table1[[#This Row],[Assigned Agent]])</f>
        <v>Priya</v>
      </c>
    </row>
    <row r="10" spans="1:13" x14ac:dyDescent="0.35">
      <c r="A10" t="s">
        <v>18</v>
      </c>
      <c r="B10" s="4">
        <v>45779</v>
      </c>
      <c r="C10" t="s">
        <v>111</v>
      </c>
      <c r="D10" t="s">
        <v>119</v>
      </c>
      <c r="E10" t="s">
        <v>121</v>
      </c>
      <c r="F10" t="s">
        <v>127</v>
      </c>
      <c r="G10" t="s">
        <v>131</v>
      </c>
      <c r="H10" s="7">
        <v>28</v>
      </c>
      <c r="I10" t="str">
        <f>IF(Table1[[#This Row],[Resolution Time (hrs)]]&gt;=25,"Yes","No ")</f>
        <v>Yes</v>
      </c>
      <c r="J10" s="10">
        <v>3</v>
      </c>
      <c r="K10" s="4" t="str">
        <f>TEXT(Table1[[#This Row],[Date Raised]],"mmm-yyyy")</f>
        <v>May-2025</v>
      </c>
      <c r="M10" t="str">
        <f>PROPER(Table1[[#This Row],[Assigned Agent]])</f>
        <v>Amit</v>
      </c>
    </row>
    <row r="11" spans="1:13" x14ac:dyDescent="0.35">
      <c r="A11" t="s">
        <v>19</v>
      </c>
      <c r="B11" s="4">
        <v>45732</v>
      </c>
      <c r="C11" t="s">
        <v>114</v>
      </c>
      <c r="D11" t="s">
        <v>120</v>
      </c>
      <c r="E11" t="s">
        <v>121</v>
      </c>
      <c r="F11" t="s">
        <v>125</v>
      </c>
      <c r="G11" t="s">
        <v>131</v>
      </c>
      <c r="H11" s="7">
        <v>8</v>
      </c>
      <c r="I11" t="str">
        <f>IF(Table1[[#This Row],[Resolution Time (hrs)]]&gt;=25,"Yes","No ")</f>
        <v xml:space="preserve">No </v>
      </c>
      <c r="J11" s="10">
        <v>3</v>
      </c>
      <c r="K11" s="4" t="str">
        <f>TEXT(Table1[[#This Row],[Date Raised]],"mmm-yyyy")</f>
        <v>Mar-2025</v>
      </c>
      <c r="M11" t="str">
        <f>PROPER(Table1[[#This Row],[Assigned Agent]])</f>
        <v>Karan</v>
      </c>
    </row>
    <row r="12" spans="1:13" x14ac:dyDescent="0.35">
      <c r="A12" t="s">
        <v>20</v>
      </c>
      <c r="B12" s="4">
        <v>45745</v>
      </c>
      <c r="C12" t="s">
        <v>113</v>
      </c>
      <c r="D12" t="s">
        <v>118</v>
      </c>
      <c r="E12" t="s">
        <v>123</v>
      </c>
      <c r="F12" t="s">
        <v>126</v>
      </c>
      <c r="G12" t="s">
        <v>131</v>
      </c>
      <c r="H12" s="7">
        <v>28</v>
      </c>
      <c r="I12" t="str">
        <f>IF(Table1[[#This Row],[Resolution Time (hrs)]]&gt;=25,"Yes","No ")</f>
        <v>Yes</v>
      </c>
      <c r="J12" s="10">
        <v>4</v>
      </c>
      <c r="K12" s="4" t="str">
        <f>TEXT(Table1[[#This Row],[Date Raised]],"mmm-yyyy")</f>
        <v>Mar-2025</v>
      </c>
      <c r="M12" t="str">
        <f>PROPER(Table1[[#This Row],[Assigned Agent]])</f>
        <v>Sneha</v>
      </c>
    </row>
    <row r="13" spans="1:13" x14ac:dyDescent="0.35">
      <c r="A13" t="s">
        <v>21</v>
      </c>
      <c r="B13" s="4">
        <v>45774</v>
      </c>
      <c r="C13" t="s">
        <v>111</v>
      </c>
      <c r="D13" t="s">
        <v>117</v>
      </c>
      <c r="E13" t="s">
        <v>122</v>
      </c>
      <c r="F13" t="s">
        <v>124</v>
      </c>
      <c r="G13" t="s">
        <v>131</v>
      </c>
      <c r="H13" s="7">
        <v>36</v>
      </c>
      <c r="I13" t="str">
        <f>IF(Table1[[#This Row],[Resolution Time (hrs)]]&gt;=25,"Yes","No ")</f>
        <v>Yes</v>
      </c>
      <c r="J13" s="10">
        <v>4</v>
      </c>
      <c r="K13" s="4" t="str">
        <f>TEXT(Table1[[#This Row],[Date Raised]],"mmm-yyyy")</f>
        <v>Apr-2025</v>
      </c>
      <c r="M13" t="str">
        <f>PROPER(Table1[[#This Row],[Assigned Agent]])</f>
        <v>Ramesh</v>
      </c>
    </row>
    <row r="14" spans="1:13" x14ac:dyDescent="0.35">
      <c r="A14" t="s">
        <v>22</v>
      </c>
      <c r="B14" s="4">
        <v>45757</v>
      </c>
      <c r="C14" t="s">
        <v>115</v>
      </c>
      <c r="D14" t="s">
        <v>117</v>
      </c>
      <c r="E14" t="s">
        <v>121</v>
      </c>
      <c r="F14" t="s">
        <v>125</v>
      </c>
      <c r="G14" t="s">
        <v>131</v>
      </c>
      <c r="H14" s="7">
        <v>26</v>
      </c>
      <c r="I14" t="str">
        <f>IF(Table1[[#This Row],[Resolution Time (hrs)]]&gt;=25,"Yes","No ")</f>
        <v>Yes</v>
      </c>
      <c r="J14" s="10">
        <v>5</v>
      </c>
      <c r="K14" s="4" t="str">
        <f>TEXT(Table1[[#This Row],[Date Raised]],"mmm-yyyy")</f>
        <v>Apr-2025</v>
      </c>
      <c r="M14" t="str">
        <f>PROPER(Table1[[#This Row],[Assigned Agent]])</f>
        <v>Karan</v>
      </c>
    </row>
    <row r="15" spans="1:13" x14ac:dyDescent="0.35">
      <c r="A15" t="s">
        <v>23</v>
      </c>
      <c r="B15" s="4">
        <v>45761</v>
      </c>
      <c r="C15" t="s">
        <v>112</v>
      </c>
      <c r="D15" t="s">
        <v>116</v>
      </c>
      <c r="E15" t="s">
        <v>121</v>
      </c>
      <c r="F15" t="s">
        <v>126</v>
      </c>
      <c r="G15" t="s">
        <v>130</v>
      </c>
      <c r="H15" s="7">
        <v>8</v>
      </c>
      <c r="I15" t="str">
        <f>IF(Table1[[#This Row],[Resolution Time (hrs)]]&gt;=25,"Yes","No ")</f>
        <v xml:space="preserve">No </v>
      </c>
      <c r="J15" s="10" t="s">
        <v>149</v>
      </c>
      <c r="K15" s="4" t="str">
        <f>TEXT(Table1[[#This Row],[Date Raised]],"mmm-yyyy")</f>
        <v>Apr-2025</v>
      </c>
      <c r="M15" t="str">
        <f>PROPER(Table1[[#This Row],[Assigned Agent]])</f>
        <v>Sneha</v>
      </c>
    </row>
    <row r="16" spans="1:13" x14ac:dyDescent="0.35">
      <c r="A16" t="s">
        <v>24</v>
      </c>
      <c r="B16" s="4">
        <v>45809</v>
      </c>
      <c r="C16" t="s">
        <v>110</v>
      </c>
      <c r="D16" t="s">
        <v>119</v>
      </c>
      <c r="E16" t="s">
        <v>123</v>
      </c>
      <c r="F16" t="s">
        <v>128</v>
      </c>
      <c r="G16" t="s">
        <v>131</v>
      </c>
      <c r="H16" s="7">
        <v>28</v>
      </c>
      <c r="I16" t="str">
        <f>IF(Table1[[#This Row],[Resolution Time (hrs)]]&gt;=25,"Yes","No ")</f>
        <v>Yes</v>
      </c>
      <c r="J16" s="10">
        <v>5</v>
      </c>
      <c r="K16" s="4" t="str">
        <f>TEXT(Table1[[#This Row],[Date Raised]],"mmm-yyyy")</f>
        <v>Jun-2025</v>
      </c>
      <c r="M16" t="str">
        <f>PROPER(Table1[[#This Row],[Assigned Agent]])</f>
        <v>Neha</v>
      </c>
    </row>
    <row r="17" spans="1:13" x14ac:dyDescent="0.35">
      <c r="A17" t="s">
        <v>25</v>
      </c>
      <c r="B17" s="4">
        <v>45788</v>
      </c>
      <c r="C17" t="s">
        <v>114</v>
      </c>
      <c r="D17" t="s">
        <v>118</v>
      </c>
      <c r="E17" t="s">
        <v>122</v>
      </c>
      <c r="F17" t="s">
        <v>125</v>
      </c>
      <c r="G17" t="s">
        <v>131</v>
      </c>
      <c r="H17" s="7">
        <v>28</v>
      </c>
      <c r="I17" t="str">
        <f>IF(Table1[[#This Row],[Resolution Time (hrs)]]&gt;=25,"Yes","No ")</f>
        <v>Yes</v>
      </c>
      <c r="J17" s="10">
        <v>5</v>
      </c>
      <c r="K17" s="4" t="str">
        <f>TEXT(Table1[[#This Row],[Date Raised]],"mmm-yyyy")</f>
        <v>May-2025</v>
      </c>
      <c r="M17" t="str">
        <f>PROPER(Table1[[#This Row],[Assigned Agent]])</f>
        <v>Karan</v>
      </c>
    </row>
    <row r="18" spans="1:13" x14ac:dyDescent="0.35">
      <c r="A18" t="s">
        <v>26</v>
      </c>
      <c r="B18" s="4">
        <v>45807</v>
      </c>
      <c r="C18" t="s">
        <v>115</v>
      </c>
      <c r="D18" t="s">
        <v>120</v>
      </c>
      <c r="E18" t="s">
        <v>123</v>
      </c>
      <c r="F18" t="s">
        <v>124</v>
      </c>
      <c r="G18" t="s">
        <v>131</v>
      </c>
      <c r="H18" s="7">
        <v>37</v>
      </c>
      <c r="I18" t="str">
        <f>IF(Table1[[#This Row],[Resolution Time (hrs)]]&gt;=25,"Yes","No ")</f>
        <v>Yes</v>
      </c>
      <c r="J18" s="10">
        <v>4</v>
      </c>
      <c r="K18" s="4" t="str">
        <f>TEXT(Table1[[#This Row],[Date Raised]],"mmm-yyyy")</f>
        <v>May-2025</v>
      </c>
      <c r="M18" t="str">
        <f>PROPER(Table1[[#This Row],[Assigned Agent]])</f>
        <v>Ramesh</v>
      </c>
    </row>
    <row r="19" spans="1:13" x14ac:dyDescent="0.35">
      <c r="A19" t="s">
        <v>27</v>
      </c>
      <c r="B19" s="4">
        <v>45710</v>
      </c>
      <c r="C19" t="s">
        <v>110</v>
      </c>
      <c r="D19" t="s">
        <v>119</v>
      </c>
      <c r="E19" t="s">
        <v>121</v>
      </c>
      <c r="F19" t="s">
        <v>126</v>
      </c>
      <c r="G19" t="s">
        <v>131</v>
      </c>
      <c r="H19" s="7">
        <v>41</v>
      </c>
      <c r="I19" t="str">
        <f>IF(Table1[[#This Row],[Resolution Time (hrs)]]&gt;=25,"Yes","No ")</f>
        <v>Yes</v>
      </c>
      <c r="J19" s="10">
        <v>4</v>
      </c>
      <c r="K19" s="4" t="str">
        <f>TEXT(Table1[[#This Row],[Date Raised]],"mmm-yyyy")</f>
        <v>Feb-2025</v>
      </c>
      <c r="M19" t="str">
        <f>PROPER(Table1[[#This Row],[Assigned Agent]])</f>
        <v>Sneha</v>
      </c>
    </row>
    <row r="20" spans="1:13" x14ac:dyDescent="0.35">
      <c r="A20" t="s">
        <v>28</v>
      </c>
      <c r="B20" s="4">
        <v>45659</v>
      </c>
      <c r="C20" t="s">
        <v>110</v>
      </c>
      <c r="D20" t="s">
        <v>120</v>
      </c>
      <c r="E20" t="s">
        <v>122</v>
      </c>
      <c r="F20" t="s">
        <v>126</v>
      </c>
      <c r="G20" t="s">
        <v>131</v>
      </c>
      <c r="H20" s="7">
        <v>36</v>
      </c>
      <c r="I20" t="str">
        <f>IF(Table1[[#This Row],[Resolution Time (hrs)]]&gt;=25,"Yes","No ")</f>
        <v>Yes</v>
      </c>
      <c r="J20" s="10">
        <v>4</v>
      </c>
      <c r="K20" s="4" t="str">
        <f>TEXT(Table1[[#This Row],[Date Raised]],"mmm-yyyy")</f>
        <v>Jan-2025</v>
      </c>
      <c r="M20" t="str">
        <f>PROPER(Table1[[#This Row],[Assigned Agent]])</f>
        <v>Sneha</v>
      </c>
    </row>
    <row r="21" spans="1:13" x14ac:dyDescent="0.35">
      <c r="A21" t="s">
        <v>29</v>
      </c>
      <c r="B21" s="4">
        <v>45745</v>
      </c>
      <c r="C21" t="s">
        <v>111</v>
      </c>
      <c r="D21" t="s">
        <v>116</v>
      </c>
      <c r="E21" t="s">
        <v>123</v>
      </c>
      <c r="F21" t="s">
        <v>126</v>
      </c>
      <c r="G21" t="s">
        <v>131</v>
      </c>
      <c r="H21" s="7">
        <v>27</v>
      </c>
      <c r="I21" t="str">
        <f>IF(Table1[[#This Row],[Resolution Time (hrs)]]&gt;=25,"Yes","No ")</f>
        <v>Yes</v>
      </c>
      <c r="J21" s="10">
        <v>4</v>
      </c>
      <c r="K21" s="4" t="str">
        <f>TEXT(Table1[[#This Row],[Date Raised]],"mmm-yyyy")</f>
        <v>Mar-2025</v>
      </c>
      <c r="M21" t="str">
        <f>PROPER(Table1[[#This Row],[Assigned Agent]])</f>
        <v>Sneha</v>
      </c>
    </row>
    <row r="22" spans="1:13" x14ac:dyDescent="0.35">
      <c r="A22" t="s">
        <v>30</v>
      </c>
      <c r="B22" s="4">
        <v>45815</v>
      </c>
      <c r="C22" t="s">
        <v>110</v>
      </c>
      <c r="D22" t="s">
        <v>116</v>
      </c>
      <c r="E22" t="s">
        <v>123</v>
      </c>
      <c r="F22" t="s">
        <v>128</v>
      </c>
      <c r="G22" t="s">
        <v>132</v>
      </c>
      <c r="H22" s="7">
        <v>17</v>
      </c>
      <c r="I22" t="str">
        <f>IF(Table1[[#This Row],[Resolution Time (hrs)]]&gt;=25,"Yes","No ")</f>
        <v xml:space="preserve">No </v>
      </c>
      <c r="J22" s="10" t="s">
        <v>149</v>
      </c>
      <c r="K22" s="4" t="str">
        <f>TEXT(Table1[[#This Row],[Date Raised]],"mmm-yyyy")</f>
        <v>Jun-2025</v>
      </c>
      <c r="M22" t="str">
        <f>PROPER(Table1[[#This Row],[Assigned Agent]])</f>
        <v>Neha</v>
      </c>
    </row>
    <row r="23" spans="1:13" x14ac:dyDescent="0.35">
      <c r="A23" t="s">
        <v>31</v>
      </c>
      <c r="B23" s="4">
        <v>45695</v>
      </c>
      <c r="C23" t="s">
        <v>112</v>
      </c>
      <c r="D23" t="s">
        <v>117</v>
      </c>
      <c r="E23" t="s">
        <v>123</v>
      </c>
      <c r="F23" t="s">
        <v>125</v>
      </c>
      <c r="G23" t="s">
        <v>131</v>
      </c>
      <c r="H23" s="7">
        <v>9</v>
      </c>
      <c r="I23" t="str">
        <f>IF(Table1[[#This Row],[Resolution Time (hrs)]]&gt;=25,"Yes","No ")</f>
        <v xml:space="preserve">No </v>
      </c>
      <c r="J23" s="10">
        <v>4</v>
      </c>
      <c r="K23" s="4" t="str">
        <f>TEXT(Table1[[#This Row],[Date Raised]],"mmm-yyyy")</f>
        <v>Feb-2025</v>
      </c>
      <c r="M23" t="str">
        <f>PROPER(Table1[[#This Row],[Assigned Agent]])</f>
        <v>Karan</v>
      </c>
    </row>
    <row r="24" spans="1:13" x14ac:dyDescent="0.35">
      <c r="A24" t="s">
        <v>32</v>
      </c>
      <c r="B24" s="4">
        <v>45787</v>
      </c>
      <c r="C24" t="s">
        <v>115</v>
      </c>
      <c r="D24" t="s">
        <v>118</v>
      </c>
      <c r="E24" t="s">
        <v>121</v>
      </c>
      <c r="F24" t="s">
        <v>128</v>
      </c>
      <c r="G24" t="s">
        <v>132</v>
      </c>
      <c r="H24" s="7">
        <v>33</v>
      </c>
      <c r="I24" t="str">
        <f>IF(Table1[[#This Row],[Resolution Time (hrs)]]&gt;=25,"Yes","No ")</f>
        <v>Yes</v>
      </c>
      <c r="J24" s="10" t="s">
        <v>149</v>
      </c>
      <c r="K24" s="4" t="str">
        <f>TEXT(Table1[[#This Row],[Date Raised]],"mmm-yyyy")</f>
        <v>May-2025</v>
      </c>
      <c r="M24" t="str">
        <f>PROPER(Table1[[#This Row],[Assigned Agent]])</f>
        <v>Neha</v>
      </c>
    </row>
    <row r="25" spans="1:13" x14ac:dyDescent="0.35">
      <c r="A25" t="s">
        <v>33</v>
      </c>
      <c r="B25" s="4">
        <v>45678</v>
      </c>
      <c r="C25" t="s">
        <v>110</v>
      </c>
      <c r="D25" t="s">
        <v>120</v>
      </c>
      <c r="E25" t="s">
        <v>121</v>
      </c>
      <c r="F25" t="s">
        <v>129</v>
      </c>
      <c r="G25" t="s">
        <v>131</v>
      </c>
      <c r="H25" s="7">
        <v>20</v>
      </c>
      <c r="I25" t="str">
        <f>IF(Table1[[#This Row],[Resolution Time (hrs)]]&gt;=25,"Yes","No ")</f>
        <v xml:space="preserve">No </v>
      </c>
      <c r="J25" s="10">
        <v>4</v>
      </c>
      <c r="K25" s="4" t="str">
        <f>TEXT(Table1[[#This Row],[Date Raised]],"mmm-yyyy")</f>
        <v>Jan-2025</v>
      </c>
      <c r="M25" t="str">
        <f>PROPER(Table1[[#This Row],[Assigned Agent]])</f>
        <v>Priya</v>
      </c>
    </row>
    <row r="26" spans="1:13" x14ac:dyDescent="0.35">
      <c r="A26" t="s">
        <v>34</v>
      </c>
      <c r="B26" s="4">
        <v>45818</v>
      </c>
      <c r="C26" t="s">
        <v>111</v>
      </c>
      <c r="D26" t="s">
        <v>119</v>
      </c>
      <c r="E26" t="s">
        <v>121</v>
      </c>
      <c r="F26" t="s">
        <v>129</v>
      </c>
      <c r="G26" t="s">
        <v>131</v>
      </c>
      <c r="H26" s="7">
        <v>13</v>
      </c>
      <c r="I26" t="str">
        <f>IF(Table1[[#This Row],[Resolution Time (hrs)]]&gt;=25,"Yes","No ")</f>
        <v xml:space="preserve">No </v>
      </c>
      <c r="J26" s="10">
        <v>4</v>
      </c>
      <c r="K26" s="4" t="str">
        <f>TEXT(Table1[[#This Row],[Date Raised]],"mmm-yyyy")</f>
        <v>Jun-2025</v>
      </c>
      <c r="M26" t="str">
        <f>PROPER(Table1[[#This Row],[Assigned Agent]])</f>
        <v>Priya</v>
      </c>
    </row>
    <row r="27" spans="1:13" x14ac:dyDescent="0.35">
      <c r="A27" t="s">
        <v>35</v>
      </c>
      <c r="B27" s="4">
        <v>45715</v>
      </c>
      <c r="C27" t="s">
        <v>112</v>
      </c>
      <c r="D27" t="s">
        <v>116</v>
      </c>
      <c r="E27" t="s">
        <v>123</v>
      </c>
      <c r="F27" t="s">
        <v>125</v>
      </c>
      <c r="G27" t="s">
        <v>131</v>
      </c>
      <c r="H27" s="7">
        <v>28</v>
      </c>
      <c r="I27" t="str">
        <f>IF(Table1[[#This Row],[Resolution Time (hrs)]]&gt;=25,"Yes","No ")</f>
        <v>Yes</v>
      </c>
      <c r="J27" s="10">
        <v>5</v>
      </c>
      <c r="K27" s="4" t="str">
        <f>TEXT(Table1[[#This Row],[Date Raised]],"mmm-yyyy")</f>
        <v>Feb-2025</v>
      </c>
      <c r="M27" t="str">
        <f>PROPER(Table1[[#This Row],[Assigned Agent]])</f>
        <v>Karan</v>
      </c>
    </row>
    <row r="28" spans="1:13" x14ac:dyDescent="0.35">
      <c r="A28" t="s">
        <v>36</v>
      </c>
      <c r="B28" s="4">
        <v>45679</v>
      </c>
      <c r="C28" t="s">
        <v>113</v>
      </c>
      <c r="D28" t="s">
        <v>117</v>
      </c>
      <c r="E28" t="s">
        <v>122</v>
      </c>
      <c r="F28" t="s">
        <v>128</v>
      </c>
      <c r="G28" t="s">
        <v>131</v>
      </c>
      <c r="H28" s="7">
        <v>48</v>
      </c>
      <c r="I28" t="str">
        <f>IF(Table1[[#This Row],[Resolution Time (hrs)]]&gt;=25,"Yes","No ")</f>
        <v>Yes</v>
      </c>
      <c r="J28" s="10">
        <v>5</v>
      </c>
      <c r="K28" s="4" t="str">
        <f>TEXT(Table1[[#This Row],[Date Raised]],"mmm-yyyy")</f>
        <v>Jan-2025</v>
      </c>
      <c r="M28" t="str">
        <f>PROPER(Table1[[#This Row],[Assigned Agent]])</f>
        <v>Neha</v>
      </c>
    </row>
    <row r="29" spans="1:13" x14ac:dyDescent="0.35">
      <c r="A29" t="s">
        <v>37</v>
      </c>
      <c r="B29" s="4">
        <v>45746</v>
      </c>
      <c r="C29" t="s">
        <v>115</v>
      </c>
      <c r="D29" t="s">
        <v>117</v>
      </c>
      <c r="E29" t="s">
        <v>121</v>
      </c>
      <c r="F29" t="s">
        <v>124</v>
      </c>
      <c r="G29" t="s">
        <v>131</v>
      </c>
      <c r="H29" s="7">
        <v>29</v>
      </c>
      <c r="I29" t="str">
        <f>IF(Table1[[#This Row],[Resolution Time (hrs)]]&gt;=25,"Yes","No ")</f>
        <v>Yes</v>
      </c>
      <c r="J29" s="10">
        <v>5</v>
      </c>
      <c r="K29" s="4" t="str">
        <f>TEXT(Table1[[#This Row],[Date Raised]],"mmm-yyyy")</f>
        <v>Mar-2025</v>
      </c>
      <c r="M29" t="str">
        <f>PROPER(Table1[[#This Row],[Assigned Agent]])</f>
        <v>Ramesh</v>
      </c>
    </row>
    <row r="30" spans="1:13" x14ac:dyDescent="0.35">
      <c r="A30" t="s">
        <v>38</v>
      </c>
      <c r="B30" s="4">
        <v>45706</v>
      </c>
      <c r="C30" t="s">
        <v>110</v>
      </c>
      <c r="D30" t="s">
        <v>120</v>
      </c>
      <c r="E30" t="s">
        <v>122</v>
      </c>
      <c r="F30" t="s">
        <v>126</v>
      </c>
      <c r="G30" t="s">
        <v>131</v>
      </c>
      <c r="H30" s="7">
        <v>13</v>
      </c>
      <c r="I30" t="str">
        <f>IF(Table1[[#This Row],[Resolution Time (hrs)]]&gt;=25,"Yes","No ")</f>
        <v xml:space="preserve">No </v>
      </c>
      <c r="J30" s="10">
        <v>5</v>
      </c>
      <c r="K30" s="4" t="str">
        <f>TEXT(Table1[[#This Row],[Date Raised]],"mmm-yyyy")</f>
        <v>Feb-2025</v>
      </c>
      <c r="M30" t="str">
        <f>PROPER(Table1[[#This Row],[Assigned Agent]])</f>
        <v>Sneha</v>
      </c>
    </row>
    <row r="31" spans="1:13" x14ac:dyDescent="0.35">
      <c r="A31" t="s">
        <v>39</v>
      </c>
      <c r="B31" s="4">
        <v>45716</v>
      </c>
      <c r="C31" t="s">
        <v>111</v>
      </c>
      <c r="D31" t="s">
        <v>116</v>
      </c>
      <c r="E31" t="s">
        <v>122</v>
      </c>
      <c r="F31" t="s">
        <v>126</v>
      </c>
      <c r="G31" t="s">
        <v>130</v>
      </c>
      <c r="H31" s="7">
        <v>46</v>
      </c>
      <c r="I31" t="str">
        <f>IF(Table1[[#This Row],[Resolution Time (hrs)]]&gt;=25,"Yes","No ")</f>
        <v>Yes</v>
      </c>
      <c r="J31" s="10" t="s">
        <v>149</v>
      </c>
      <c r="K31" s="4" t="str">
        <f>TEXT(Table1[[#This Row],[Date Raised]],"mmm-yyyy")</f>
        <v>Feb-2025</v>
      </c>
      <c r="M31" t="str">
        <f>PROPER(Table1[[#This Row],[Assigned Agent]])</f>
        <v>Sneha</v>
      </c>
    </row>
    <row r="32" spans="1:13" x14ac:dyDescent="0.35">
      <c r="A32" t="s">
        <v>40</v>
      </c>
      <c r="B32" s="4">
        <v>45827</v>
      </c>
      <c r="C32" t="s">
        <v>113</v>
      </c>
      <c r="D32" t="s">
        <v>118</v>
      </c>
      <c r="E32" t="s">
        <v>121</v>
      </c>
      <c r="F32" t="s">
        <v>125</v>
      </c>
      <c r="G32" t="s">
        <v>131</v>
      </c>
      <c r="H32" s="7">
        <v>35</v>
      </c>
      <c r="I32" t="str">
        <f>IF(Table1[[#This Row],[Resolution Time (hrs)]]&gt;=25,"Yes","No ")</f>
        <v>Yes</v>
      </c>
      <c r="J32" s="10">
        <v>4</v>
      </c>
      <c r="K32" s="4" t="str">
        <f>TEXT(Table1[[#This Row],[Date Raised]],"mmm-yyyy")</f>
        <v>Jun-2025</v>
      </c>
      <c r="M32" t="str">
        <f>PROPER(Table1[[#This Row],[Assigned Agent]])</f>
        <v>Karan</v>
      </c>
    </row>
    <row r="33" spans="1:13" x14ac:dyDescent="0.35">
      <c r="A33" t="s">
        <v>41</v>
      </c>
      <c r="B33" s="4">
        <v>45672</v>
      </c>
      <c r="C33" t="s">
        <v>113</v>
      </c>
      <c r="D33" t="s">
        <v>116</v>
      </c>
      <c r="E33" t="s">
        <v>121</v>
      </c>
      <c r="F33" t="s">
        <v>129</v>
      </c>
      <c r="G33" t="s">
        <v>131</v>
      </c>
      <c r="H33" s="7">
        <v>6</v>
      </c>
      <c r="I33" t="str">
        <f>IF(Table1[[#This Row],[Resolution Time (hrs)]]&gt;=25,"Yes","No ")</f>
        <v xml:space="preserve">No </v>
      </c>
      <c r="J33" s="10">
        <v>3</v>
      </c>
      <c r="K33" s="4" t="str">
        <f>TEXT(Table1[[#This Row],[Date Raised]],"mmm-yyyy")</f>
        <v>Jan-2025</v>
      </c>
      <c r="M33" t="str">
        <f>PROPER(Table1[[#This Row],[Assigned Agent]])</f>
        <v>Priya</v>
      </c>
    </row>
    <row r="34" spans="1:13" x14ac:dyDescent="0.35">
      <c r="A34" t="s">
        <v>42</v>
      </c>
      <c r="B34" s="4">
        <v>45832</v>
      </c>
      <c r="C34" t="s">
        <v>114</v>
      </c>
      <c r="D34" t="s">
        <v>120</v>
      </c>
      <c r="E34" t="s">
        <v>121</v>
      </c>
      <c r="F34" t="s">
        <v>129</v>
      </c>
      <c r="G34" t="s">
        <v>131</v>
      </c>
      <c r="H34" s="7">
        <v>18</v>
      </c>
      <c r="I34" t="str">
        <f>IF(Table1[[#This Row],[Resolution Time (hrs)]]&gt;=25,"Yes","No ")</f>
        <v xml:space="preserve">No </v>
      </c>
      <c r="J34" s="10">
        <v>4</v>
      </c>
      <c r="K34" s="4" t="str">
        <f>TEXT(Table1[[#This Row],[Date Raised]],"mmm-yyyy")</f>
        <v>Jun-2025</v>
      </c>
      <c r="M34" t="str">
        <f>PROPER(Table1[[#This Row],[Assigned Agent]])</f>
        <v>Priya</v>
      </c>
    </row>
    <row r="35" spans="1:13" x14ac:dyDescent="0.35">
      <c r="A35" t="s">
        <v>43</v>
      </c>
      <c r="B35" s="4">
        <v>45708</v>
      </c>
      <c r="C35" t="s">
        <v>112</v>
      </c>
      <c r="D35" t="s">
        <v>120</v>
      </c>
      <c r="E35" t="s">
        <v>123</v>
      </c>
      <c r="F35" t="s">
        <v>126</v>
      </c>
      <c r="G35" t="s">
        <v>131</v>
      </c>
      <c r="H35" s="7">
        <v>5</v>
      </c>
      <c r="I35" t="str">
        <f>IF(Table1[[#This Row],[Resolution Time (hrs)]]&gt;=25,"Yes","No ")</f>
        <v xml:space="preserve">No </v>
      </c>
      <c r="J35" s="10">
        <v>3</v>
      </c>
      <c r="K35" s="4" t="str">
        <f>TEXT(Table1[[#This Row],[Date Raised]],"mmm-yyyy")</f>
        <v>Feb-2025</v>
      </c>
      <c r="M35" t="str">
        <f>PROPER(Table1[[#This Row],[Assigned Agent]])</f>
        <v>Sneha</v>
      </c>
    </row>
    <row r="36" spans="1:13" x14ac:dyDescent="0.35">
      <c r="A36" t="s">
        <v>44</v>
      </c>
      <c r="B36" s="4">
        <v>45765</v>
      </c>
      <c r="C36" t="s">
        <v>110</v>
      </c>
      <c r="D36" t="s">
        <v>116</v>
      </c>
      <c r="E36" t="s">
        <v>123</v>
      </c>
      <c r="F36" t="s">
        <v>125</v>
      </c>
      <c r="G36" t="s">
        <v>131</v>
      </c>
      <c r="H36" s="7">
        <v>47</v>
      </c>
      <c r="I36" t="str">
        <f>IF(Table1[[#This Row],[Resolution Time (hrs)]]&gt;=25,"Yes","No ")</f>
        <v>Yes</v>
      </c>
      <c r="J36" s="10">
        <v>5</v>
      </c>
      <c r="K36" s="4" t="str">
        <f>TEXT(Table1[[#This Row],[Date Raised]],"mmm-yyyy")</f>
        <v>Apr-2025</v>
      </c>
      <c r="M36" t="str">
        <f>PROPER(Table1[[#This Row],[Assigned Agent]])</f>
        <v>Karan</v>
      </c>
    </row>
    <row r="37" spans="1:13" x14ac:dyDescent="0.35">
      <c r="A37" t="s">
        <v>45</v>
      </c>
      <c r="B37" s="4">
        <v>45712</v>
      </c>
      <c r="C37" t="s">
        <v>111</v>
      </c>
      <c r="D37" t="s">
        <v>120</v>
      </c>
      <c r="E37" t="s">
        <v>122</v>
      </c>
      <c r="F37" t="s">
        <v>128</v>
      </c>
      <c r="G37" t="s">
        <v>132</v>
      </c>
      <c r="H37" s="7">
        <v>25</v>
      </c>
      <c r="I37" t="str">
        <f>IF(Table1[[#This Row],[Resolution Time (hrs)]]&gt;=25,"Yes","No ")</f>
        <v>Yes</v>
      </c>
      <c r="J37" s="10" t="s">
        <v>149</v>
      </c>
      <c r="K37" s="4" t="str">
        <f>TEXT(Table1[[#This Row],[Date Raised]],"mmm-yyyy")</f>
        <v>Feb-2025</v>
      </c>
      <c r="M37" t="str">
        <f>PROPER(Table1[[#This Row],[Assigned Agent]])</f>
        <v>Neha</v>
      </c>
    </row>
    <row r="38" spans="1:13" x14ac:dyDescent="0.35">
      <c r="A38" t="s">
        <v>46</v>
      </c>
      <c r="B38" s="4">
        <v>45721</v>
      </c>
      <c r="C38" t="s">
        <v>114</v>
      </c>
      <c r="D38" t="s">
        <v>116</v>
      </c>
      <c r="E38" t="s">
        <v>122</v>
      </c>
      <c r="F38" t="s">
        <v>129</v>
      </c>
      <c r="G38" t="s">
        <v>131</v>
      </c>
      <c r="H38" s="7">
        <v>2</v>
      </c>
      <c r="I38" t="str">
        <f>IF(Table1[[#This Row],[Resolution Time (hrs)]]&gt;=25,"Yes","No ")</f>
        <v xml:space="preserve">No </v>
      </c>
      <c r="J38" s="10">
        <v>4</v>
      </c>
      <c r="K38" s="4" t="str">
        <f>TEXT(Table1[[#This Row],[Date Raised]],"mmm-yyyy")</f>
        <v>Mar-2025</v>
      </c>
      <c r="M38" t="str">
        <f>PROPER(Table1[[#This Row],[Assigned Agent]])</f>
        <v>Priya</v>
      </c>
    </row>
    <row r="39" spans="1:13" x14ac:dyDescent="0.35">
      <c r="A39" t="s">
        <v>47</v>
      </c>
      <c r="B39" s="4">
        <v>45788</v>
      </c>
      <c r="C39" t="s">
        <v>112</v>
      </c>
      <c r="D39" t="s">
        <v>119</v>
      </c>
      <c r="E39" t="s">
        <v>121</v>
      </c>
      <c r="F39" t="s">
        <v>128</v>
      </c>
      <c r="G39" t="s">
        <v>132</v>
      </c>
      <c r="H39" s="7">
        <v>10</v>
      </c>
      <c r="I39" t="str">
        <f>IF(Table1[[#This Row],[Resolution Time (hrs)]]&gt;=25,"Yes","No ")</f>
        <v xml:space="preserve">No </v>
      </c>
      <c r="J39" s="10" t="s">
        <v>149</v>
      </c>
      <c r="K39" s="4" t="str">
        <f>TEXT(Table1[[#This Row],[Date Raised]],"mmm-yyyy")</f>
        <v>May-2025</v>
      </c>
      <c r="M39" t="str">
        <f>PROPER(Table1[[#This Row],[Assigned Agent]])</f>
        <v>Neha</v>
      </c>
    </row>
    <row r="40" spans="1:13" x14ac:dyDescent="0.35">
      <c r="A40" t="s">
        <v>48</v>
      </c>
      <c r="B40" s="4">
        <v>45708</v>
      </c>
      <c r="C40" t="s">
        <v>114</v>
      </c>
      <c r="D40" t="s">
        <v>116</v>
      </c>
      <c r="E40" t="s">
        <v>121</v>
      </c>
      <c r="F40" t="s">
        <v>129</v>
      </c>
      <c r="G40" t="s">
        <v>131</v>
      </c>
      <c r="H40" s="7">
        <v>30</v>
      </c>
      <c r="I40" t="str">
        <f>IF(Table1[[#This Row],[Resolution Time (hrs)]]&gt;=25,"Yes","No ")</f>
        <v>Yes</v>
      </c>
      <c r="J40" s="10">
        <v>5</v>
      </c>
      <c r="K40" s="4" t="str">
        <f>TEXT(Table1[[#This Row],[Date Raised]],"mmm-yyyy")</f>
        <v>Feb-2025</v>
      </c>
      <c r="M40" t="str">
        <f>PROPER(Table1[[#This Row],[Assigned Agent]])</f>
        <v>Priya</v>
      </c>
    </row>
    <row r="41" spans="1:13" x14ac:dyDescent="0.35">
      <c r="A41" t="s">
        <v>49</v>
      </c>
      <c r="B41" s="4">
        <v>45792</v>
      </c>
      <c r="C41" t="s">
        <v>115</v>
      </c>
      <c r="D41" t="s">
        <v>116</v>
      </c>
      <c r="E41" t="s">
        <v>122</v>
      </c>
      <c r="F41" t="s">
        <v>129</v>
      </c>
      <c r="G41" t="s">
        <v>131</v>
      </c>
      <c r="H41" s="7">
        <v>45</v>
      </c>
      <c r="I41" t="str">
        <f>IF(Table1[[#This Row],[Resolution Time (hrs)]]&gt;=25,"Yes","No ")</f>
        <v>Yes</v>
      </c>
      <c r="J41" s="10">
        <v>4</v>
      </c>
      <c r="K41" s="4" t="str">
        <f>TEXT(Table1[[#This Row],[Date Raised]],"mmm-yyyy")</f>
        <v>May-2025</v>
      </c>
      <c r="M41" t="str">
        <f>PROPER(Table1[[#This Row],[Assigned Agent]])</f>
        <v>Priya</v>
      </c>
    </row>
    <row r="42" spans="1:13" x14ac:dyDescent="0.35">
      <c r="A42" t="s">
        <v>50</v>
      </c>
      <c r="B42" s="4">
        <v>45678</v>
      </c>
      <c r="C42" t="s">
        <v>112</v>
      </c>
      <c r="D42" t="s">
        <v>120</v>
      </c>
      <c r="E42" t="s">
        <v>122</v>
      </c>
      <c r="F42" t="s">
        <v>127</v>
      </c>
      <c r="G42" t="s">
        <v>131</v>
      </c>
      <c r="H42" s="7">
        <v>5</v>
      </c>
      <c r="I42" t="str">
        <f>IF(Table1[[#This Row],[Resolution Time (hrs)]]&gt;=25,"Yes","No ")</f>
        <v xml:space="preserve">No </v>
      </c>
      <c r="J42" s="10">
        <v>5</v>
      </c>
      <c r="K42" s="4" t="str">
        <f>TEXT(Table1[[#This Row],[Date Raised]],"mmm-yyyy")</f>
        <v>Jan-2025</v>
      </c>
      <c r="M42" t="str">
        <f>PROPER(Table1[[#This Row],[Assigned Agent]])</f>
        <v>Amit</v>
      </c>
    </row>
    <row r="43" spans="1:13" x14ac:dyDescent="0.35">
      <c r="A43" t="s">
        <v>51</v>
      </c>
      <c r="B43" s="4">
        <v>45730</v>
      </c>
      <c r="C43" t="s">
        <v>112</v>
      </c>
      <c r="D43" t="s">
        <v>120</v>
      </c>
      <c r="E43" t="s">
        <v>121</v>
      </c>
      <c r="F43" t="s">
        <v>129</v>
      </c>
      <c r="G43" t="s">
        <v>131</v>
      </c>
      <c r="H43" s="7">
        <v>33</v>
      </c>
      <c r="I43" t="str">
        <f>IF(Table1[[#This Row],[Resolution Time (hrs)]]&gt;=25,"Yes","No ")</f>
        <v>Yes</v>
      </c>
      <c r="J43" s="10">
        <v>3</v>
      </c>
      <c r="K43" s="4" t="str">
        <f>TEXT(Table1[[#This Row],[Date Raised]],"mmm-yyyy")</f>
        <v>Mar-2025</v>
      </c>
      <c r="M43" t="str">
        <f>PROPER(Table1[[#This Row],[Assigned Agent]])</f>
        <v>Priya</v>
      </c>
    </row>
    <row r="44" spans="1:13" x14ac:dyDescent="0.35">
      <c r="A44" t="s">
        <v>52</v>
      </c>
      <c r="B44" s="4">
        <v>45824</v>
      </c>
      <c r="C44" t="s">
        <v>110</v>
      </c>
      <c r="D44" t="s">
        <v>117</v>
      </c>
      <c r="E44" t="s">
        <v>123</v>
      </c>
      <c r="F44" t="s">
        <v>124</v>
      </c>
      <c r="G44" t="s">
        <v>130</v>
      </c>
      <c r="H44" s="7">
        <v>1</v>
      </c>
      <c r="I44" t="str">
        <f>IF(Table1[[#This Row],[Resolution Time (hrs)]]&gt;=25,"Yes","No ")</f>
        <v xml:space="preserve">No </v>
      </c>
      <c r="J44" s="10" t="s">
        <v>149</v>
      </c>
      <c r="K44" s="4" t="str">
        <f>TEXT(Table1[[#This Row],[Date Raised]],"mmm-yyyy")</f>
        <v>Jun-2025</v>
      </c>
      <c r="M44" t="str">
        <f>PROPER(Table1[[#This Row],[Assigned Agent]])</f>
        <v>Ramesh</v>
      </c>
    </row>
    <row r="45" spans="1:13" x14ac:dyDescent="0.35">
      <c r="A45" t="s">
        <v>53</v>
      </c>
      <c r="B45" s="4">
        <v>45675</v>
      </c>
      <c r="C45" t="s">
        <v>112</v>
      </c>
      <c r="D45" t="s">
        <v>117</v>
      </c>
      <c r="E45" t="s">
        <v>122</v>
      </c>
      <c r="F45" t="s">
        <v>125</v>
      </c>
      <c r="G45" t="s">
        <v>130</v>
      </c>
      <c r="H45" s="7">
        <v>18</v>
      </c>
      <c r="I45" t="str">
        <f>IF(Table1[[#This Row],[Resolution Time (hrs)]]&gt;=25,"Yes","No ")</f>
        <v xml:space="preserve">No </v>
      </c>
      <c r="J45" s="10" t="s">
        <v>149</v>
      </c>
      <c r="K45" s="4" t="str">
        <f>TEXT(Table1[[#This Row],[Date Raised]],"mmm-yyyy")</f>
        <v>Jan-2025</v>
      </c>
      <c r="M45" t="str">
        <f>PROPER(Table1[[#This Row],[Assigned Agent]])</f>
        <v>Karan</v>
      </c>
    </row>
    <row r="46" spans="1:13" x14ac:dyDescent="0.35">
      <c r="A46" t="s">
        <v>54</v>
      </c>
      <c r="B46" s="4">
        <v>45789</v>
      </c>
      <c r="C46" t="s">
        <v>114</v>
      </c>
      <c r="D46" t="s">
        <v>119</v>
      </c>
      <c r="E46" t="s">
        <v>123</v>
      </c>
      <c r="F46" t="s">
        <v>125</v>
      </c>
      <c r="G46" t="s">
        <v>131</v>
      </c>
      <c r="H46" s="7">
        <v>32</v>
      </c>
      <c r="I46" t="str">
        <f>IF(Table1[[#This Row],[Resolution Time (hrs)]]&gt;=25,"Yes","No ")</f>
        <v>Yes</v>
      </c>
      <c r="J46" s="10">
        <v>3</v>
      </c>
      <c r="K46" s="4" t="str">
        <f>TEXT(Table1[[#This Row],[Date Raised]],"mmm-yyyy")</f>
        <v>May-2025</v>
      </c>
      <c r="M46" t="str">
        <f>PROPER(Table1[[#This Row],[Assigned Agent]])</f>
        <v>Karan</v>
      </c>
    </row>
    <row r="47" spans="1:13" x14ac:dyDescent="0.35">
      <c r="A47" t="s">
        <v>55</v>
      </c>
      <c r="B47" s="4">
        <v>45746</v>
      </c>
      <c r="C47" t="s">
        <v>112</v>
      </c>
      <c r="D47" t="s">
        <v>117</v>
      </c>
      <c r="E47" t="s">
        <v>121</v>
      </c>
      <c r="F47" t="s">
        <v>128</v>
      </c>
      <c r="G47" t="s">
        <v>131</v>
      </c>
      <c r="H47" s="7">
        <v>47</v>
      </c>
      <c r="I47" t="str">
        <f>IF(Table1[[#This Row],[Resolution Time (hrs)]]&gt;=25,"Yes","No ")</f>
        <v>Yes</v>
      </c>
      <c r="J47" s="10">
        <v>3</v>
      </c>
      <c r="K47" s="4" t="str">
        <f>TEXT(Table1[[#This Row],[Date Raised]],"mmm-yyyy")</f>
        <v>Mar-2025</v>
      </c>
      <c r="M47" t="str">
        <f>PROPER(Table1[[#This Row],[Assigned Agent]])</f>
        <v>Neha</v>
      </c>
    </row>
    <row r="48" spans="1:13" x14ac:dyDescent="0.35">
      <c r="A48" t="s">
        <v>56</v>
      </c>
      <c r="B48" s="4">
        <v>45717</v>
      </c>
      <c r="C48" t="s">
        <v>110</v>
      </c>
      <c r="D48" t="s">
        <v>116</v>
      </c>
      <c r="E48" t="s">
        <v>122</v>
      </c>
      <c r="F48" t="s">
        <v>129</v>
      </c>
      <c r="G48" t="s">
        <v>130</v>
      </c>
      <c r="H48" s="7">
        <v>11</v>
      </c>
      <c r="I48" t="str">
        <f>IF(Table1[[#This Row],[Resolution Time (hrs)]]&gt;=25,"Yes","No ")</f>
        <v xml:space="preserve">No </v>
      </c>
      <c r="J48" s="10" t="s">
        <v>149</v>
      </c>
      <c r="K48" s="4" t="str">
        <f>TEXT(Table1[[#This Row],[Date Raised]],"mmm-yyyy")</f>
        <v>Mar-2025</v>
      </c>
      <c r="M48" t="str">
        <f>PROPER(Table1[[#This Row],[Assigned Agent]])</f>
        <v>Priya</v>
      </c>
    </row>
    <row r="49" spans="1:13" x14ac:dyDescent="0.35">
      <c r="A49" t="s">
        <v>57</v>
      </c>
      <c r="B49" s="4">
        <v>45671</v>
      </c>
      <c r="C49" t="s">
        <v>110</v>
      </c>
      <c r="D49" t="s">
        <v>120</v>
      </c>
      <c r="E49" t="s">
        <v>121</v>
      </c>
      <c r="F49" t="s">
        <v>124</v>
      </c>
      <c r="G49" t="s">
        <v>132</v>
      </c>
      <c r="H49" s="7">
        <v>21</v>
      </c>
      <c r="I49" t="str">
        <f>IF(Table1[[#This Row],[Resolution Time (hrs)]]&gt;=25,"Yes","No ")</f>
        <v xml:space="preserve">No </v>
      </c>
      <c r="J49" s="10" t="s">
        <v>149</v>
      </c>
      <c r="K49" s="4" t="str">
        <f>TEXT(Table1[[#This Row],[Date Raised]],"mmm-yyyy")</f>
        <v>Jan-2025</v>
      </c>
      <c r="M49" t="str">
        <f>PROPER(Table1[[#This Row],[Assigned Agent]])</f>
        <v>Ramesh</v>
      </c>
    </row>
    <row r="50" spans="1:13" x14ac:dyDescent="0.35">
      <c r="A50" t="s">
        <v>58</v>
      </c>
      <c r="B50" s="4">
        <v>45666</v>
      </c>
      <c r="C50" t="s">
        <v>115</v>
      </c>
      <c r="D50" t="s">
        <v>117</v>
      </c>
      <c r="E50" t="s">
        <v>122</v>
      </c>
      <c r="F50" t="s">
        <v>128</v>
      </c>
      <c r="G50" t="s">
        <v>131</v>
      </c>
      <c r="H50" s="7">
        <v>26</v>
      </c>
      <c r="I50" t="str">
        <f>IF(Table1[[#This Row],[Resolution Time (hrs)]]&gt;=25,"Yes","No ")</f>
        <v>Yes</v>
      </c>
      <c r="J50" s="10">
        <v>4</v>
      </c>
      <c r="K50" s="4" t="str">
        <f>TEXT(Table1[[#This Row],[Date Raised]],"mmm-yyyy")</f>
        <v>Jan-2025</v>
      </c>
      <c r="M50" t="str">
        <f>PROPER(Table1[[#This Row],[Assigned Agent]])</f>
        <v>Neha</v>
      </c>
    </row>
    <row r="51" spans="1:13" x14ac:dyDescent="0.35">
      <c r="A51" t="s">
        <v>59</v>
      </c>
      <c r="B51" s="4">
        <v>45747</v>
      </c>
      <c r="C51" t="s">
        <v>114</v>
      </c>
      <c r="D51" t="s">
        <v>117</v>
      </c>
      <c r="E51" t="s">
        <v>121</v>
      </c>
      <c r="F51" t="s">
        <v>127</v>
      </c>
      <c r="G51" t="s">
        <v>132</v>
      </c>
      <c r="H51" s="7">
        <v>25</v>
      </c>
      <c r="I51" t="str">
        <f>IF(Table1[[#This Row],[Resolution Time (hrs)]]&gt;=25,"Yes","No ")</f>
        <v>Yes</v>
      </c>
      <c r="J51" s="10" t="s">
        <v>149</v>
      </c>
      <c r="K51" s="4" t="str">
        <f>TEXT(Table1[[#This Row],[Date Raised]],"mmm-yyyy")</f>
        <v>Mar-2025</v>
      </c>
      <c r="M51" t="str">
        <f>PROPER(Table1[[#This Row],[Assigned Agent]])</f>
        <v>Amit</v>
      </c>
    </row>
    <row r="52" spans="1:13" x14ac:dyDescent="0.35">
      <c r="A52" t="s">
        <v>60</v>
      </c>
      <c r="B52" s="4">
        <v>45710</v>
      </c>
      <c r="C52" t="s">
        <v>113</v>
      </c>
      <c r="D52" t="s">
        <v>119</v>
      </c>
      <c r="E52" t="s">
        <v>122</v>
      </c>
      <c r="F52" t="s">
        <v>128</v>
      </c>
      <c r="G52" t="s">
        <v>131</v>
      </c>
      <c r="H52" s="7">
        <v>22</v>
      </c>
      <c r="I52" t="str">
        <f>IF(Table1[[#This Row],[Resolution Time (hrs)]]&gt;=25,"Yes","No ")</f>
        <v xml:space="preserve">No </v>
      </c>
      <c r="J52" s="10">
        <v>3</v>
      </c>
      <c r="K52" s="4" t="str">
        <f>TEXT(Table1[[#This Row],[Date Raised]],"mmm-yyyy")</f>
        <v>Feb-2025</v>
      </c>
      <c r="M52" t="str">
        <f>PROPER(Table1[[#This Row],[Assigned Agent]])</f>
        <v>Neha</v>
      </c>
    </row>
    <row r="53" spans="1:13" x14ac:dyDescent="0.35">
      <c r="A53" t="s">
        <v>61</v>
      </c>
      <c r="B53" s="4">
        <v>45787</v>
      </c>
      <c r="C53" t="s">
        <v>113</v>
      </c>
      <c r="D53" t="s">
        <v>119</v>
      </c>
      <c r="E53" t="s">
        <v>122</v>
      </c>
      <c r="F53" t="s">
        <v>128</v>
      </c>
      <c r="G53" t="s">
        <v>131</v>
      </c>
      <c r="H53" s="7">
        <v>27</v>
      </c>
      <c r="I53" t="str">
        <f>IF(Table1[[#This Row],[Resolution Time (hrs)]]&gt;=25,"Yes","No ")</f>
        <v>Yes</v>
      </c>
      <c r="J53" s="10">
        <v>4</v>
      </c>
      <c r="K53" s="4" t="str">
        <f>TEXT(Table1[[#This Row],[Date Raised]],"mmm-yyyy")</f>
        <v>May-2025</v>
      </c>
      <c r="M53" t="str">
        <f>PROPER(Table1[[#This Row],[Assigned Agent]])</f>
        <v>Neha</v>
      </c>
    </row>
    <row r="54" spans="1:13" x14ac:dyDescent="0.35">
      <c r="A54" t="s">
        <v>62</v>
      </c>
      <c r="B54" s="4">
        <v>45741</v>
      </c>
      <c r="C54" t="s">
        <v>112</v>
      </c>
      <c r="D54" t="s">
        <v>116</v>
      </c>
      <c r="E54" t="s">
        <v>121</v>
      </c>
      <c r="F54" t="s">
        <v>129</v>
      </c>
      <c r="G54" t="s">
        <v>132</v>
      </c>
      <c r="H54" s="7">
        <v>13</v>
      </c>
      <c r="I54" t="str">
        <f>IF(Table1[[#This Row],[Resolution Time (hrs)]]&gt;=25,"Yes","No ")</f>
        <v xml:space="preserve">No </v>
      </c>
      <c r="J54" s="10" t="s">
        <v>149</v>
      </c>
      <c r="K54" s="4" t="str">
        <f>TEXT(Table1[[#This Row],[Date Raised]],"mmm-yyyy")</f>
        <v>Mar-2025</v>
      </c>
      <c r="M54" t="str">
        <f>PROPER(Table1[[#This Row],[Assigned Agent]])</f>
        <v>Priya</v>
      </c>
    </row>
    <row r="55" spans="1:13" x14ac:dyDescent="0.35">
      <c r="A55" t="s">
        <v>63</v>
      </c>
      <c r="B55" s="4">
        <v>45749</v>
      </c>
      <c r="C55" t="s">
        <v>115</v>
      </c>
      <c r="D55" t="s">
        <v>120</v>
      </c>
      <c r="E55" t="s">
        <v>122</v>
      </c>
      <c r="F55" t="s">
        <v>127</v>
      </c>
      <c r="G55" t="s">
        <v>132</v>
      </c>
      <c r="H55" s="7">
        <v>33</v>
      </c>
      <c r="I55" t="str">
        <f>IF(Table1[[#This Row],[Resolution Time (hrs)]]&gt;=25,"Yes","No ")</f>
        <v>Yes</v>
      </c>
      <c r="J55" s="10" t="s">
        <v>149</v>
      </c>
      <c r="K55" s="4" t="str">
        <f>TEXT(Table1[[#This Row],[Date Raised]],"mmm-yyyy")</f>
        <v>Apr-2025</v>
      </c>
      <c r="M55" t="str">
        <f>PROPER(Table1[[#This Row],[Assigned Agent]])</f>
        <v>Amit</v>
      </c>
    </row>
    <row r="56" spans="1:13" x14ac:dyDescent="0.35">
      <c r="A56" t="s">
        <v>64</v>
      </c>
      <c r="B56" s="4">
        <v>45768</v>
      </c>
      <c r="C56" t="s">
        <v>111</v>
      </c>
      <c r="D56" t="s">
        <v>119</v>
      </c>
      <c r="E56" t="s">
        <v>122</v>
      </c>
      <c r="F56" t="s">
        <v>128</v>
      </c>
      <c r="G56" t="s">
        <v>131</v>
      </c>
      <c r="H56" s="7">
        <v>34</v>
      </c>
      <c r="I56" t="str">
        <f>IF(Table1[[#This Row],[Resolution Time (hrs)]]&gt;=25,"Yes","No ")</f>
        <v>Yes</v>
      </c>
      <c r="J56" s="10">
        <v>3</v>
      </c>
      <c r="K56" s="4" t="str">
        <f>TEXT(Table1[[#This Row],[Date Raised]],"mmm-yyyy")</f>
        <v>Apr-2025</v>
      </c>
      <c r="M56" t="str">
        <f>PROPER(Table1[[#This Row],[Assigned Agent]])</f>
        <v>Neha</v>
      </c>
    </row>
    <row r="57" spans="1:13" x14ac:dyDescent="0.35">
      <c r="A57" t="s">
        <v>65</v>
      </c>
      <c r="B57" s="4">
        <v>45829</v>
      </c>
      <c r="C57" t="s">
        <v>112</v>
      </c>
      <c r="D57" t="s">
        <v>117</v>
      </c>
      <c r="E57" t="s">
        <v>121</v>
      </c>
      <c r="F57" t="s">
        <v>124</v>
      </c>
      <c r="G57" t="s">
        <v>131</v>
      </c>
      <c r="H57" s="7">
        <v>41</v>
      </c>
      <c r="I57" t="str">
        <f>IF(Table1[[#This Row],[Resolution Time (hrs)]]&gt;=25,"Yes","No ")</f>
        <v>Yes</v>
      </c>
      <c r="J57" s="10">
        <v>3</v>
      </c>
      <c r="K57" s="4" t="str">
        <f>TEXT(Table1[[#This Row],[Date Raised]],"mmm-yyyy")</f>
        <v>Jun-2025</v>
      </c>
      <c r="M57" t="str">
        <f>PROPER(Table1[[#This Row],[Assigned Agent]])</f>
        <v>Ramesh</v>
      </c>
    </row>
    <row r="58" spans="1:13" x14ac:dyDescent="0.35">
      <c r="A58" t="s">
        <v>66</v>
      </c>
      <c r="B58" s="4">
        <v>45665</v>
      </c>
      <c r="C58" t="s">
        <v>115</v>
      </c>
      <c r="D58" t="s">
        <v>120</v>
      </c>
      <c r="E58" t="s">
        <v>122</v>
      </c>
      <c r="F58" t="s">
        <v>124</v>
      </c>
      <c r="G58" t="s">
        <v>131</v>
      </c>
      <c r="H58" s="7">
        <v>35</v>
      </c>
      <c r="I58" t="str">
        <f>IF(Table1[[#This Row],[Resolution Time (hrs)]]&gt;=25,"Yes","No ")</f>
        <v>Yes</v>
      </c>
      <c r="J58" s="10">
        <v>4</v>
      </c>
      <c r="K58" s="4" t="str">
        <f>TEXT(Table1[[#This Row],[Date Raised]],"mmm-yyyy")</f>
        <v>Jan-2025</v>
      </c>
      <c r="M58" t="str">
        <f>PROPER(Table1[[#This Row],[Assigned Agent]])</f>
        <v>Ramesh</v>
      </c>
    </row>
    <row r="59" spans="1:13" x14ac:dyDescent="0.35">
      <c r="A59" t="s">
        <v>67</v>
      </c>
      <c r="B59" s="4">
        <v>45832</v>
      </c>
      <c r="C59" t="s">
        <v>114</v>
      </c>
      <c r="D59" t="s">
        <v>120</v>
      </c>
      <c r="E59" t="s">
        <v>123</v>
      </c>
      <c r="F59" t="s">
        <v>125</v>
      </c>
      <c r="G59" t="s">
        <v>131</v>
      </c>
      <c r="H59" s="7">
        <v>1</v>
      </c>
      <c r="I59" t="str">
        <f>IF(Table1[[#This Row],[Resolution Time (hrs)]]&gt;=25,"Yes","No ")</f>
        <v xml:space="preserve">No </v>
      </c>
      <c r="J59" s="10">
        <v>4</v>
      </c>
      <c r="K59" s="4" t="str">
        <f>TEXT(Table1[[#This Row],[Date Raised]],"mmm-yyyy")</f>
        <v>Jun-2025</v>
      </c>
      <c r="M59" t="str">
        <f>PROPER(Table1[[#This Row],[Assigned Agent]])</f>
        <v>Karan</v>
      </c>
    </row>
    <row r="60" spans="1:13" x14ac:dyDescent="0.35">
      <c r="A60" t="s">
        <v>68</v>
      </c>
      <c r="B60" s="4">
        <v>45692</v>
      </c>
      <c r="C60" t="s">
        <v>114</v>
      </c>
      <c r="D60" t="s">
        <v>117</v>
      </c>
      <c r="E60" t="s">
        <v>122</v>
      </c>
      <c r="F60" t="s">
        <v>127</v>
      </c>
      <c r="G60" t="s">
        <v>131</v>
      </c>
      <c r="H60" s="7">
        <v>21</v>
      </c>
      <c r="I60" t="str">
        <f>IF(Table1[[#This Row],[Resolution Time (hrs)]]&gt;=25,"Yes","No ")</f>
        <v xml:space="preserve">No </v>
      </c>
      <c r="J60" s="10">
        <v>3</v>
      </c>
      <c r="K60" s="4" t="str">
        <f>TEXT(Table1[[#This Row],[Date Raised]],"mmm-yyyy")</f>
        <v>Feb-2025</v>
      </c>
      <c r="M60" t="str">
        <f>PROPER(Table1[[#This Row],[Assigned Agent]])</f>
        <v>Amit</v>
      </c>
    </row>
    <row r="61" spans="1:13" x14ac:dyDescent="0.35">
      <c r="A61" t="s">
        <v>69</v>
      </c>
      <c r="B61" s="4">
        <v>45738</v>
      </c>
      <c r="C61" t="s">
        <v>114</v>
      </c>
      <c r="D61" t="s">
        <v>119</v>
      </c>
      <c r="E61" t="s">
        <v>121</v>
      </c>
      <c r="F61" t="s">
        <v>127</v>
      </c>
      <c r="G61" t="s">
        <v>131</v>
      </c>
      <c r="H61" s="7">
        <v>48</v>
      </c>
      <c r="I61" t="str">
        <f>IF(Table1[[#This Row],[Resolution Time (hrs)]]&gt;=25,"Yes","No ")</f>
        <v>Yes</v>
      </c>
      <c r="J61" s="10">
        <v>4</v>
      </c>
      <c r="K61" s="4" t="str">
        <f>TEXT(Table1[[#This Row],[Date Raised]],"mmm-yyyy")</f>
        <v>Mar-2025</v>
      </c>
      <c r="M61" t="str">
        <f>PROPER(Table1[[#This Row],[Assigned Agent]])</f>
        <v>Amit</v>
      </c>
    </row>
    <row r="62" spans="1:13" x14ac:dyDescent="0.35">
      <c r="A62" t="s">
        <v>70</v>
      </c>
      <c r="B62" s="4">
        <v>45821</v>
      </c>
      <c r="C62" t="s">
        <v>114</v>
      </c>
      <c r="D62" t="s">
        <v>117</v>
      </c>
      <c r="E62" t="s">
        <v>121</v>
      </c>
      <c r="F62" t="s">
        <v>125</v>
      </c>
      <c r="G62" t="s">
        <v>131</v>
      </c>
      <c r="H62" s="7">
        <v>6</v>
      </c>
      <c r="I62" t="str">
        <f>IF(Table1[[#This Row],[Resolution Time (hrs)]]&gt;=25,"Yes","No ")</f>
        <v xml:space="preserve">No </v>
      </c>
      <c r="J62" s="10">
        <v>3</v>
      </c>
      <c r="K62" s="4" t="str">
        <f>TEXT(Table1[[#This Row],[Date Raised]],"mmm-yyyy")</f>
        <v>Jun-2025</v>
      </c>
      <c r="M62" t="str">
        <f>PROPER(Table1[[#This Row],[Assigned Agent]])</f>
        <v>Karan</v>
      </c>
    </row>
    <row r="63" spans="1:13" x14ac:dyDescent="0.35">
      <c r="A63" t="s">
        <v>71</v>
      </c>
      <c r="B63" s="4">
        <v>45707</v>
      </c>
      <c r="C63" t="s">
        <v>114</v>
      </c>
      <c r="D63" t="s">
        <v>120</v>
      </c>
      <c r="E63" t="s">
        <v>121</v>
      </c>
      <c r="F63" t="s">
        <v>128</v>
      </c>
      <c r="G63" t="s">
        <v>131</v>
      </c>
      <c r="H63" s="7">
        <v>28</v>
      </c>
      <c r="I63" t="str">
        <f>IF(Table1[[#This Row],[Resolution Time (hrs)]]&gt;=25,"Yes","No ")</f>
        <v>Yes</v>
      </c>
      <c r="J63" s="10">
        <v>4</v>
      </c>
      <c r="K63" s="4" t="str">
        <f>TEXT(Table1[[#This Row],[Date Raised]],"mmm-yyyy")</f>
        <v>Feb-2025</v>
      </c>
      <c r="M63" t="str">
        <f>PROPER(Table1[[#This Row],[Assigned Agent]])</f>
        <v>Neha</v>
      </c>
    </row>
    <row r="64" spans="1:13" x14ac:dyDescent="0.35">
      <c r="A64" t="s">
        <v>72</v>
      </c>
      <c r="B64" s="4">
        <v>45761</v>
      </c>
      <c r="C64" t="s">
        <v>115</v>
      </c>
      <c r="D64" t="s">
        <v>118</v>
      </c>
      <c r="E64" t="s">
        <v>121</v>
      </c>
      <c r="F64" t="s">
        <v>127</v>
      </c>
      <c r="G64" t="s">
        <v>132</v>
      </c>
      <c r="H64" s="7">
        <v>17</v>
      </c>
      <c r="I64" t="str">
        <f>IF(Table1[[#This Row],[Resolution Time (hrs)]]&gt;=25,"Yes","No ")</f>
        <v xml:space="preserve">No </v>
      </c>
      <c r="J64" s="10" t="s">
        <v>149</v>
      </c>
      <c r="K64" s="4" t="str">
        <f>TEXT(Table1[[#This Row],[Date Raised]],"mmm-yyyy")</f>
        <v>Apr-2025</v>
      </c>
      <c r="M64" t="str">
        <f>PROPER(Table1[[#This Row],[Assigned Agent]])</f>
        <v>Amit</v>
      </c>
    </row>
    <row r="65" spans="1:13" x14ac:dyDescent="0.35">
      <c r="A65" t="s">
        <v>73</v>
      </c>
      <c r="B65" s="4">
        <v>45789</v>
      </c>
      <c r="C65" t="s">
        <v>115</v>
      </c>
      <c r="D65" t="s">
        <v>118</v>
      </c>
      <c r="E65" t="s">
        <v>122</v>
      </c>
      <c r="F65" t="s">
        <v>124</v>
      </c>
      <c r="G65" t="s">
        <v>131</v>
      </c>
      <c r="H65" s="7">
        <v>5</v>
      </c>
      <c r="I65" t="str">
        <f>IF(Table1[[#This Row],[Resolution Time (hrs)]]&gt;=25,"Yes","No ")</f>
        <v xml:space="preserve">No </v>
      </c>
      <c r="J65" s="10">
        <v>5</v>
      </c>
      <c r="K65" s="4" t="str">
        <f>TEXT(Table1[[#This Row],[Date Raised]],"mmm-yyyy")</f>
        <v>May-2025</v>
      </c>
      <c r="M65" t="str">
        <f>PROPER(Table1[[#This Row],[Assigned Agent]])</f>
        <v>Ramesh</v>
      </c>
    </row>
    <row r="66" spans="1:13" x14ac:dyDescent="0.35">
      <c r="A66" t="s">
        <v>74</v>
      </c>
      <c r="B66" s="4">
        <v>45659</v>
      </c>
      <c r="C66" t="s">
        <v>110</v>
      </c>
      <c r="D66" t="s">
        <v>116</v>
      </c>
      <c r="E66" t="s">
        <v>123</v>
      </c>
      <c r="F66" t="s">
        <v>124</v>
      </c>
      <c r="G66" t="s">
        <v>131</v>
      </c>
      <c r="H66" s="7">
        <v>31</v>
      </c>
      <c r="I66" t="str">
        <f>IF(Table1[[#This Row],[Resolution Time (hrs)]]&gt;=25,"Yes","No ")</f>
        <v>Yes</v>
      </c>
      <c r="J66" s="10">
        <v>5</v>
      </c>
      <c r="K66" s="4" t="str">
        <f>TEXT(Table1[[#This Row],[Date Raised]],"mmm-yyyy")</f>
        <v>Jan-2025</v>
      </c>
      <c r="M66" t="str">
        <f>PROPER(Table1[[#This Row],[Assigned Agent]])</f>
        <v>Ramesh</v>
      </c>
    </row>
    <row r="67" spans="1:13" x14ac:dyDescent="0.35">
      <c r="A67" t="s">
        <v>75</v>
      </c>
      <c r="B67" s="4">
        <v>45791</v>
      </c>
      <c r="C67" t="s">
        <v>113</v>
      </c>
      <c r="D67" t="s">
        <v>117</v>
      </c>
      <c r="E67" t="s">
        <v>123</v>
      </c>
      <c r="F67" t="s">
        <v>129</v>
      </c>
      <c r="G67" t="s">
        <v>131</v>
      </c>
      <c r="H67" s="7">
        <v>5</v>
      </c>
      <c r="I67" t="str">
        <f>IF(Table1[[#This Row],[Resolution Time (hrs)]]&gt;=25,"Yes","No ")</f>
        <v xml:space="preserve">No </v>
      </c>
      <c r="J67" s="10">
        <v>5</v>
      </c>
      <c r="K67" s="4" t="str">
        <f>TEXT(Table1[[#This Row],[Date Raised]],"mmm-yyyy")</f>
        <v>May-2025</v>
      </c>
      <c r="M67" t="str">
        <f>PROPER(Table1[[#This Row],[Assigned Agent]])</f>
        <v>Priya</v>
      </c>
    </row>
    <row r="68" spans="1:13" x14ac:dyDescent="0.35">
      <c r="A68" t="s">
        <v>76</v>
      </c>
      <c r="B68" s="4">
        <v>45711</v>
      </c>
      <c r="C68" t="s">
        <v>114</v>
      </c>
      <c r="D68" t="s">
        <v>117</v>
      </c>
      <c r="E68" t="s">
        <v>123</v>
      </c>
      <c r="F68" t="s">
        <v>127</v>
      </c>
      <c r="G68" t="s">
        <v>131</v>
      </c>
      <c r="H68" s="7">
        <v>38</v>
      </c>
      <c r="I68" t="str">
        <f>IF(Table1[[#This Row],[Resolution Time (hrs)]]&gt;=25,"Yes","No ")</f>
        <v>Yes</v>
      </c>
      <c r="J68" s="10">
        <v>5</v>
      </c>
      <c r="K68" s="4" t="str">
        <f>TEXT(Table1[[#This Row],[Date Raised]],"mmm-yyyy")</f>
        <v>Feb-2025</v>
      </c>
      <c r="M68" t="str">
        <f>PROPER(Table1[[#This Row],[Assigned Agent]])</f>
        <v>Amit</v>
      </c>
    </row>
    <row r="69" spans="1:13" x14ac:dyDescent="0.35">
      <c r="A69" t="s">
        <v>77</v>
      </c>
      <c r="B69" s="4">
        <v>45763</v>
      </c>
      <c r="C69" t="s">
        <v>111</v>
      </c>
      <c r="D69" t="s">
        <v>116</v>
      </c>
      <c r="E69" t="s">
        <v>122</v>
      </c>
      <c r="F69" t="s">
        <v>128</v>
      </c>
      <c r="G69" t="s">
        <v>130</v>
      </c>
      <c r="H69" s="7">
        <v>3</v>
      </c>
      <c r="I69" t="str">
        <f>IF(Table1[[#This Row],[Resolution Time (hrs)]]&gt;=25,"Yes","No ")</f>
        <v xml:space="preserve">No </v>
      </c>
      <c r="J69" s="10" t="s">
        <v>149</v>
      </c>
      <c r="K69" s="4" t="str">
        <f>TEXT(Table1[[#This Row],[Date Raised]],"mmm-yyyy")</f>
        <v>Apr-2025</v>
      </c>
      <c r="M69" t="str">
        <f>PROPER(Table1[[#This Row],[Assigned Agent]])</f>
        <v>Neha</v>
      </c>
    </row>
    <row r="70" spans="1:13" x14ac:dyDescent="0.35">
      <c r="A70" t="s">
        <v>78</v>
      </c>
      <c r="B70" s="4">
        <v>45661</v>
      </c>
      <c r="C70" t="s">
        <v>115</v>
      </c>
      <c r="D70" t="s">
        <v>116</v>
      </c>
      <c r="E70" t="s">
        <v>122</v>
      </c>
      <c r="F70" t="s">
        <v>125</v>
      </c>
      <c r="G70" t="s">
        <v>131</v>
      </c>
      <c r="H70" s="7">
        <v>23</v>
      </c>
      <c r="I70" t="str">
        <f>IF(Table1[[#This Row],[Resolution Time (hrs)]]&gt;=25,"Yes","No ")</f>
        <v xml:space="preserve">No </v>
      </c>
      <c r="J70" s="10">
        <v>5</v>
      </c>
      <c r="K70" s="4" t="str">
        <f>TEXT(Table1[[#This Row],[Date Raised]],"mmm-yyyy")</f>
        <v>Jan-2025</v>
      </c>
      <c r="M70" t="str">
        <f>PROPER(Table1[[#This Row],[Assigned Agent]])</f>
        <v>Karan</v>
      </c>
    </row>
    <row r="71" spans="1:13" x14ac:dyDescent="0.35">
      <c r="A71" t="s">
        <v>79</v>
      </c>
      <c r="B71" s="4">
        <v>45711</v>
      </c>
      <c r="C71" t="s">
        <v>111</v>
      </c>
      <c r="D71" t="s">
        <v>116</v>
      </c>
      <c r="E71" t="s">
        <v>121</v>
      </c>
      <c r="F71" t="s">
        <v>125</v>
      </c>
      <c r="G71" t="s">
        <v>132</v>
      </c>
      <c r="H71" s="7">
        <v>37</v>
      </c>
      <c r="I71" t="str">
        <f>IF(Table1[[#This Row],[Resolution Time (hrs)]]&gt;=25,"Yes","No ")</f>
        <v>Yes</v>
      </c>
      <c r="J71" s="10" t="s">
        <v>149</v>
      </c>
      <c r="K71" s="4" t="str">
        <f>TEXT(Table1[[#This Row],[Date Raised]],"mmm-yyyy")</f>
        <v>Feb-2025</v>
      </c>
      <c r="M71" t="str">
        <f>PROPER(Table1[[#This Row],[Assigned Agent]])</f>
        <v>Karan</v>
      </c>
    </row>
    <row r="72" spans="1:13" x14ac:dyDescent="0.35">
      <c r="A72" t="s">
        <v>80</v>
      </c>
      <c r="B72" s="4">
        <v>45803</v>
      </c>
      <c r="C72" t="s">
        <v>111</v>
      </c>
      <c r="D72" t="s">
        <v>120</v>
      </c>
      <c r="E72" t="s">
        <v>121</v>
      </c>
      <c r="F72" t="s">
        <v>128</v>
      </c>
      <c r="G72" t="s">
        <v>131</v>
      </c>
      <c r="H72" s="7">
        <v>37</v>
      </c>
      <c r="I72" t="str">
        <f>IF(Table1[[#This Row],[Resolution Time (hrs)]]&gt;=25,"Yes","No ")</f>
        <v>Yes</v>
      </c>
      <c r="J72" s="10">
        <v>3</v>
      </c>
      <c r="K72" s="4" t="str">
        <f>TEXT(Table1[[#This Row],[Date Raised]],"mmm-yyyy")</f>
        <v>May-2025</v>
      </c>
      <c r="M72" t="str">
        <f>PROPER(Table1[[#This Row],[Assigned Agent]])</f>
        <v>Neha</v>
      </c>
    </row>
    <row r="73" spans="1:13" x14ac:dyDescent="0.35">
      <c r="A73" t="s">
        <v>81</v>
      </c>
      <c r="B73" s="4">
        <v>45701</v>
      </c>
      <c r="C73" t="s">
        <v>111</v>
      </c>
      <c r="D73" t="s">
        <v>117</v>
      </c>
      <c r="E73" t="s">
        <v>121</v>
      </c>
      <c r="F73" t="s">
        <v>126</v>
      </c>
      <c r="G73" t="s">
        <v>132</v>
      </c>
      <c r="H73" s="7">
        <v>10</v>
      </c>
      <c r="I73" t="str">
        <f>IF(Table1[[#This Row],[Resolution Time (hrs)]]&gt;=25,"Yes","No ")</f>
        <v xml:space="preserve">No </v>
      </c>
      <c r="J73" s="10" t="s">
        <v>149</v>
      </c>
      <c r="K73" s="4" t="str">
        <f>TEXT(Table1[[#This Row],[Date Raised]],"mmm-yyyy")</f>
        <v>Feb-2025</v>
      </c>
      <c r="M73" t="str">
        <f>PROPER(Table1[[#This Row],[Assigned Agent]])</f>
        <v>Sneha</v>
      </c>
    </row>
    <row r="74" spans="1:13" x14ac:dyDescent="0.35">
      <c r="A74" t="s">
        <v>82</v>
      </c>
      <c r="B74" s="4">
        <v>45819</v>
      </c>
      <c r="C74" t="s">
        <v>110</v>
      </c>
      <c r="D74" t="s">
        <v>120</v>
      </c>
      <c r="E74" t="s">
        <v>123</v>
      </c>
      <c r="F74" t="s">
        <v>129</v>
      </c>
      <c r="G74" t="s">
        <v>130</v>
      </c>
      <c r="H74" s="7">
        <v>10</v>
      </c>
      <c r="I74" t="str">
        <f>IF(Table1[[#This Row],[Resolution Time (hrs)]]&gt;=25,"Yes","No ")</f>
        <v xml:space="preserve">No </v>
      </c>
      <c r="J74" s="10" t="s">
        <v>149</v>
      </c>
      <c r="K74" s="4" t="str">
        <f>TEXT(Table1[[#This Row],[Date Raised]],"mmm-yyyy")</f>
        <v>Jun-2025</v>
      </c>
      <c r="M74" t="str">
        <f>PROPER(Table1[[#This Row],[Assigned Agent]])</f>
        <v>Priya</v>
      </c>
    </row>
    <row r="75" spans="1:13" x14ac:dyDescent="0.35">
      <c r="A75" t="s">
        <v>83</v>
      </c>
      <c r="B75" s="4">
        <v>45671</v>
      </c>
      <c r="C75" t="s">
        <v>115</v>
      </c>
      <c r="D75" t="s">
        <v>116</v>
      </c>
      <c r="E75" t="s">
        <v>122</v>
      </c>
      <c r="F75" t="s">
        <v>125</v>
      </c>
      <c r="G75" t="s">
        <v>130</v>
      </c>
      <c r="H75" s="7">
        <v>19</v>
      </c>
      <c r="I75" t="str">
        <f>IF(Table1[[#This Row],[Resolution Time (hrs)]]&gt;=25,"Yes","No ")</f>
        <v xml:space="preserve">No </v>
      </c>
      <c r="J75" s="10" t="s">
        <v>149</v>
      </c>
      <c r="K75" s="4" t="str">
        <f>TEXT(Table1[[#This Row],[Date Raised]],"mmm-yyyy")</f>
        <v>Jan-2025</v>
      </c>
      <c r="M75" t="str">
        <f>PROPER(Table1[[#This Row],[Assigned Agent]])</f>
        <v>Karan</v>
      </c>
    </row>
    <row r="76" spans="1:13" x14ac:dyDescent="0.35">
      <c r="A76" t="s">
        <v>84</v>
      </c>
      <c r="B76" s="4">
        <v>45752</v>
      </c>
      <c r="C76" t="s">
        <v>111</v>
      </c>
      <c r="D76" t="s">
        <v>117</v>
      </c>
      <c r="E76" t="s">
        <v>123</v>
      </c>
      <c r="F76" t="s">
        <v>127</v>
      </c>
      <c r="G76" t="s">
        <v>131</v>
      </c>
      <c r="H76" s="7">
        <v>17</v>
      </c>
      <c r="I76" t="str">
        <f>IF(Table1[[#This Row],[Resolution Time (hrs)]]&gt;=25,"Yes","No ")</f>
        <v xml:space="preserve">No </v>
      </c>
      <c r="J76" s="10">
        <v>5</v>
      </c>
      <c r="K76" s="4" t="str">
        <f>TEXT(Table1[[#This Row],[Date Raised]],"mmm-yyyy")</f>
        <v>Apr-2025</v>
      </c>
      <c r="M76" t="str">
        <f>PROPER(Table1[[#This Row],[Assigned Agent]])</f>
        <v>Amit</v>
      </c>
    </row>
    <row r="77" spans="1:13" x14ac:dyDescent="0.35">
      <c r="A77" t="s">
        <v>85</v>
      </c>
      <c r="B77" s="4">
        <v>45705</v>
      </c>
      <c r="C77" t="s">
        <v>114</v>
      </c>
      <c r="D77" t="s">
        <v>120</v>
      </c>
      <c r="E77" t="s">
        <v>121</v>
      </c>
      <c r="F77" t="s">
        <v>129</v>
      </c>
      <c r="G77" t="s">
        <v>131</v>
      </c>
      <c r="H77" s="7">
        <v>21</v>
      </c>
      <c r="I77" t="str">
        <f>IF(Table1[[#This Row],[Resolution Time (hrs)]]&gt;=25,"Yes","No ")</f>
        <v xml:space="preserve">No </v>
      </c>
      <c r="J77" s="10">
        <v>5</v>
      </c>
      <c r="K77" s="4" t="str">
        <f>TEXT(Table1[[#This Row],[Date Raised]],"mmm-yyyy")</f>
        <v>Feb-2025</v>
      </c>
      <c r="M77" t="str">
        <f>PROPER(Table1[[#This Row],[Assigned Agent]])</f>
        <v>Priya</v>
      </c>
    </row>
    <row r="78" spans="1:13" x14ac:dyDescent="0.35">
      <c r="A78" t="s">
        <v>86</v>
      </c>
      <c r="B78" s="4">
        <v>45672</v>
      </c>
      <c r="C78" t="s">
        <v>112</v>
      </c>
      <c r="D78" t="s">
        <v>120</v>
      </c>
      <c r="E78" t="s">
        <v>123</v>
      </c>
      <c r="F78" t="s">
        <v>127</v>
      </c>
      <c r="G78" t="s">
        <v>131</v>
      </c>
      <c r="H78" s="7">
        <v>14</v>
      </c>
      <c r="I78" t="str">
        <f>IF(Table1[[#This Row],[Resolution Time (hrs)]]&gt;=25,"Yes","No ")</f>
        <v xml:space="preserve">No </v>
      </c>
      <c r="J78" s="10">
        <v>5</v>
      </c>
      <c r="K78" s="4" t="str">
        <f>TEXT(Table1[[#This Row],[Date Raised]],"mmm-yyyy")</f>
        <v>Jan-2025</v>
      </c>
      <c r="M78" t="str">
        <f>PROPER(Table1[[#This Row],[Assigned Agent]])</f>
        <v>Amit</v>
      </c>
    </row>
    <row r="79" spans="1:13" x14ac:dyDescent="0.35">
      <c r="A79" t="s">
        <v>87</v>
      </c>
      <c r="B79" s="4">
        <v>45697</v>
      </c>
      <c r="C79" t="s">
        <v>111</v>
      </c>
      <c r="D79" t="s">
        <v>116</v>
      </c>
      <c r="E79" t="s">
        <v>122</v>
      </c>
      <c r="F79" t="s">
        <v>124</v>
      </c>
      <c r="G79" t="s">
        <v>131</v>
      </c>
      <c r="H79" s="7">
        <v>9</v>
      </c>
      <c r="I79" t="str">
        <f>IF(Table1[[#This Row],[Resolution Time (hrs)]]&gt;=25,"Yes","No ")</f>
        <v xml:space="preserve">No </v>
      </c>
      <c r="J79" s="10">
        <v>5</v>
      </c>
      <c r="K79" s="4" t="str">
        <f>TEXT(Table1[[#This Row],[Date Raised]],"mmm-yyyy")</f>
        <v>Feb-2025</v>
      </c>
      <c r="M79" t="str">
        <f>PROPER(Table1[[#This Row],[Assigned Agent]])</f>
        <v>Ramesh</v>
      </c>
    </row>
    <row r="80" spans="1:13" x14ac:dyDescent="0.35">
      <c r="A80" t="s">
        <v>88</v>
      </c>
      <c r="B80" s="4">
        <v>45739</v>
      </c>
      <c r="C80" t="s">
        <v>110</v>
      </c>
      <c r="D80" t="s">
        <v>117</v>
      </c>
      <c r="E80" t="s">
        <v>121</v>
      </c>
      <c r="F80" t="s">
        <v>129</v>
      </c>
      <c r="G80" t="s">
        <v>131</v>
      </c>
      <c r="H80" s="7">
        <v>46</v>
      </c>
      <c r="I80" t="str">
        <f>IF(Table1[[#This Row],[Resolution Time (hrs)]]&gt;=25,"Yes","No ")</f>
        <v>Yes</v>
      </c>
      <c r="J80" s="10">
        <v>4</v>
      </c>
      <c r="K80" s="4" t="str">
        <f>TEXT(Table1[[#This Row],[Date Raised]],"mmm-yyyy")</f>
        <v>Mar-2025</v>
      </c>
      <c r="M80" t="str">
        <f>PROPER(Table1[[#This Row],[Assigned Agent]])</f>
        <v>Priya</v>
      </c>
    </row>
    <row r="81" spans="1:13" x14ac:dyDescent="0.35">
      <c r="A81" t="s">
        <v>89</v>
      </c>
      <c r="B81" s="4">
        <v>45768</v>
      </c>
      <c r="C81" t="s">
        <v>115</v>
      </c>
      <c r="D81" t="s">
        <v>116</v>
      </c>
      <c r="E81" t="s">
        <v>121</v>
      </c>
      <c r="F81" t="s">
        <v>125</v>
      </c>
      <c r="G81" t="s">
        <v>130</v>
      </c>
      <c r="H81" s="7">
        <v>1</v>
      </c>
      <c r="I81" t="str">
        <f>IF(Table1[[#This Row],[Resolution Time (hrs)]]&gt;=25,"Yes","No ")</f>
        <v xml:space="preserve">No </v>
      </c>
      <c r="J81" s="10" t="s">
        <v>149</v>
      </c>
      <c r="K81" s="4" t="str">
        <f>TEXT(Table1[[#This Row],[Date Raised]],"mmm-yyyy")</f>
        <v>Apr-2025</v>
      </c>
      <c r="M81" t="str">
        <f>PROPER(Table1[[#This Row],[Assigned Agent]])</f>
        <v>Karan</v>
      </c>
    </row>
    <row r="82" spans="1:13" x14ac:dyDescent="0.35">
      <c r="A82" t="s">
        <v>90</v>
      </c>
      <c r="B82" s="4">
        <v>45710</v>
      </c>
      <c r="C82" t="s">
        <v>110</v>
      </c>
      <c r="D82" t="s">
        <v>117</v>
      </c>
      <c r="E82" t="s">
        <v>122</v>
      </c>
      <c r="F82" t="s">
        <v>129</v>
      </c>
      <c r="G82" t="s">
        <v>131</v>
      </c>
      <c r="H82" s="7">
        <v>45</v>
      </c>
      <c r="I82" t="str">
        <f>IF(Table1[[#This Row],[Resolution Time (hrs)]]&gt;=25,"Yes","No ")</f>
        <v>Yes</v>
      </c>
      <c r="J82" s="10">
        <v>3</v>
      </c>
      <c r="K82" s="4" t="str">
        <f>TEXT(Table1[[#This Row],[Date Raised]],"mmm-yyyy")</f>
        <v>Feb-2025</v>
      </c>
      <c r="M82" t="str">
        <f>PROPER(Table1[[#This Row],[Assigned Agent]])</f>
        <v>Priya</v>
      </c>
    </row>
    <row r="83" spans="1:13" x14ac:dyDescent="0.35">
      <c r="A83" t="s">
        <v>91</v>
      </c>
      <c r="B83" s="4">
        <v>45681</v>
      </c>
      <c r="C83" t="s">
        <v>111</v>
      </c>
      <c r="D83" t="s">
        <v>118</v>
      </c>
      <c r="E83" t="s">
        <v>122</v>
      </c>
      <c r="F83" t="s">
        <v>129</v>
      </c>
      <c r="G83" t="s">
        <v>130</v>
      </c>
      <c r="H83" s="7">
        <v>13</v>
      </c>
      <c r="I83" t="str">
        <f>IF(Table1[[#This Row],[Resolution Time (hrs)]]&gt;=25,"Yes","No ")</f>
        <v xml:space="preserve">No </v>
      </c>
      <c r="J83" s="10" t="s">
        <v>149</v>
      </c>
      <c r="K83" s="4" t="str">
        <f>TEXT(Table1[[#This Row],[Date Raised]],"mmm-yyyy")</f>
        <v>Jan-2025</v>
      </c>
      <c r="M83" t="str">
        <f>PROPER(Table1[[#This Row],[Assigned Agent]])</f>
        <v>Priya</v>
      </c>
    </row>
    <row r="84" spans="1:13" x14ac:dyDescent="0.35">
      <c r="A84" t="s">
        <v>92</v>
      </c>
      <c r="B84" s="4">
        <v>45811</v>
      </c>
      <c r="C84" t="s">
        <v>115</v>
      </c>
      <c r="D84" t="s">
        <v>119</v>
      </c>
      <c r="E84" t="s">
        <v>123</v>
      </c>
      <c r="F84" t="s">
        <v>129</v>
      </c>
      <c r="G84" t="s">
        <v>131</v>
      </c>
      <c r="H84" s="7">
        <v>4</v>
      </c>
      <c r="I84" t="str">
        <f>IF(Table1[[#This Row],[Resolution Time (hrs)]]&gt;=25,"Yes","No ")</f>
        <v xml:space="preserve">No </v>
      </c>
      <c r="J84" s="10">
        <v>5</v>
      </c>
      <c r="K84" s="4" t="str">
        <f>TEXT(Table1[[#This Row],[Date Raised]],"mmm-yyyy")</f>
        <v>Jun-2025</v>
      </c>
      <c r="M84" t="str">
        <f>PROPER(Table1[[#This Row],[Assigned Agent]])</f>
        <v>Priya</v>
      </c>
    </row>
    <row r="85" spans="1:13" x14ac:dyDescent="0.35">
      <c r="A85" t="s">
        <v>93</v>
      </c>
      <c r="B85" s="4">
        <v>45781</v>
      </c>
      <c r="C85" t="s">
        <v>112</v>
      </c>
      <c r="D85" t="s">
        <v>119</v>
      </c>
      <c r="E85" t="s">
        <v>123</v>
      </c>
      <c r="F85" t="s">
        <v>126</v>
      </c>
      <c r="G85" t="s">
        <v>132</v>
      </c>
      <c r="H85" s="7">
        <v>1</v>
      </c>
      <c r="I85" t="str">
        <f>IF(Table1[[#This Row],[Resolution Time (hrs)]]&gt;=25,"Yes","No ")</f>
        <v xml:space="preserve">No </v>
      </c>
      <c r="J85" s="10" t="s">
        <v>149</v>
      </c>
      <c r="K85" s="4" t="str">
        <f>TEXT(Table1[[#This Row],[Date Raised]],"mmm-yyyy")</f>
        <v>May-2025</v>
      </c>
      <c r="M85" t="str">
        <f>PROPER(Table1[[#This Row],[Assigned Agent]])</f>
        <v>Sneha</v>
      </c>
    </row>
    <row r="86" spans="1:13" x14ac:dyDescent="0.35">
      <c r="A86" t="s">
        <v>94</v>
      </c>
      <c r="B86" s="4">
        <v>45698</v>
      </c>
      <c r="C86" t="s">
        <v>111</v>
      </c>
      <c r="D86" t="s">
        <v>119</v>
      </c>
      <c r="E86" t="s">
        <v>122</v>
      </c>
      <c r="F86" t="s">
        <v>129</v>
      </c>
      <c r="G86" t="s">
        <v>131</v>
      </c>
      <c r="H86" s="7">
        <v>40</v>
      </c>
      <c r="I86" t="str">
        <f>IF(Table1[[#This Row],[Resolution Time (hrs)]]&gt;=25,"Yes","No ")</f>
        <v>Yes</v>
      </c>
      <c r="J86" s="10">
        <v>5</v>
      </c>
      <c r="K86" s="4" t="str">
        <f>TEXT(Table1[[#This Row],[Date Raised]],"mmm-yyyy")</f>
        <v>Feb-2025</v>
      </c>
      <c r="M86" t="str">
        <f>PROPER(Table1[[#This Row],[Assigned Agent]])</f>
        <v>Priya</v>
      </c>
    </row>
    <row r="87" spans="1:13" x14ac:dyDescent="0.35">
      <c r="A87" t="s">
        <v>95</v>
      </c>
      <c r="B87" s="4">
        <v>45814</v>
      </c>
      <c r="C87" t="s">
        <v>110</v>
      </c>
      <c r="D87" t="s">
        <v>116</v>
      </c>
      <c r="E87" t="s">
        <v>121</v>
      </c>
      <c r="F87" t="s">
        <v>127</v>
      </c>
      <c r="G87" t="s">
        <v>132</v>
      </c>
      <c r="H87" s="7">
        <v>32</v>
      </c>
      <c r="I87" t="str">
        <f>IF(Table1[[#This Row],[Resolution Time (hrs)]]&gt;=25,"Yes","No ")</f>
        <v>Yes</v>
      </c>
      <c r="J87" s="10" t="s">
        <v>149</v>
      </c>
      <c r="K87" s="4" t="str">
        <f>TEXT(Table1[[#This Row],[Date Raised]],"mmm-yyyy")</f>
        <v>Jun-2025</v>
      </c>
      <c r="M87" t="str">
        <f>PROPER(Table1[[#This Row],[Assigned Agent]])</f>
        <v>Amit</v>
      </c>
    </row>
    <row r="88" spans="1:13" x14ac:dyDescent="0.35">
      <c r="A88" t="s">
        <v>96</v>
      </c>
      <c r="B88" s="4">
        <v>45672</v>
      </c>
      <c r="C88" t="s">
        <v>113</v>
      </c>
      <c r="D88" t="s">
        <v>118</v>
      </c>
      <c r="E88" t="s">
        <v>121</v>
      </c>
      <c r="F88" t="s">
        <v>124</v>
      </c>
      <c r="G88" t="s">
        <v>131</v>
      </c>
      <c r="H88" s="7">
        <v>34</v>
      </c>
      <c r="I88" t="str">
        <f>IF(Table1[[#This Row],[Resolution Time (hrs)]]&gt;=25,"Yes","No ")</f>
        <v>Yes</v>
      </c>
      <c r="J88" s="10">
        <v>5</v>
      </c>
      <c r="K88" s="4" t="str">
        <f>TEXT(Table1[[#This Row],[Date Raised]],"mmm-yyyy")</f>
        <v>Jan-2025</v>
      </c>
      <c r="M88" t="str">
        <f>PROPER(Table1[[#This Row],[Assigned Agent]])</f>
        <v>Ramesh</v>
      </c>
    </row>
    <row r="89" spans="1:13" x14ac:dyDescent="0.35">
      <c r="A89" t="s">
        <v>97</v>
      </c>
      <c r="B89" s="4">
        <v>45702</v>
      </c>
      <c r="C89" t="s">
        <v>114</v>
      </c>
      <c r="D89" t="s">
        <v>117</v>
      </c>
      <c r="E89" t="s">
        <v>123</v>
      </c>
      <c r="F89" t="s">
        <v>128</v>
      </c>
      <c r="G89" t="s">
        <v>131</v>
      </c>
      <c r="H89" s="7">
        <v>28</v>
      </c>
      <c r="I89" t="str">
        <f>IF(Table1[[#This Row],[Resolution Time (hrs)]]&gt;=25,"Yes","No ")</f>
        <v>Yes</v>
      </c>
      <c r="J89" s="10">
        <v>3</v>
      </c>
      <c r="K89" s="4" t="str">
        <f>TEXT(Table1[[#This Row],[Date Raised]],"mmm-yyyy")</f>
        <v>Feb-2025</v>
      </c>
      <c r="M89" t="str">
        <f>PROPER(Table1[[#This Row],[Assigned Agent]])</f>
        <v>Neha</v>
      </c>
    </row>
    <row r="90" spans="1:13" x14ac:dyDescent="0.35">
      <c r="A90" t="s">
        <v>98</v>
      </c>
      <c r="B90" s="4">
        <v>45722</v>
      </c>
      <c r="C90" t="s">
        <v>110</v>
      </c>
      <c r="D90" t="s">
        <v>120</v>
      </c>
      <c r="E90" t="s">
        <v>122</v>
      </c>
      <c r="F90" t="s">
        <v>129</v>
      </c>
      <c r="G90" t="s">
        <v>131</v>
      </c>
      <c r="H90" s="7">
        <v>31</v>
      </c>
      <c r="I90" t="str">
        <f>IF(Table1[[#This Row],[Resolution Time (hrs)]]&gt;=25,"Yes","No ")</f>
        <v>Yes</v>
      </c>
      <c r="J90" s="10">
        <v>4</v>
      </c>
      <c r="K90" s="4" t="str">
        <f>TEXT(Table1[[#This Row],[Date Raised]],"mmm-yyyy")</f>
        <v>Mar-2025</v>
      </c>
      <c r="M90" t="str">
        <f>PROPER(Table1[[#This Row],[Assigned Agent]])</f>
        <v>Priya</v>
      </c>
    </row>
    <row r="91" spans="1:13" x14ac:dyDescent="0.35">
      <c r="A91" t="s">
        <v>99</v>
      </c>
      <c r="B91" s="4">
        <v>45746</v>
      </c>
      <c r="C91" t="s">
        <v>115</v>
      </c>
      <c r="D91" t="s">
        <v>117</v>
      </c>
      <c r="E91" t="s">
        <v>122</v>
      </c>
      <c r="F91" t="s">
        <v>125</v>
      </c>
      <c r="G91" t="s">
        <v>132</v>
      </c>
      <c r="H91" s="7">
        <v>8</v>
      </c>
      <c r="I91" t="str">
        <f>IF(Table1[[#This Row],[Resolution Time (hrs)]]&gt;=25,"Yes","No ")</f>
        <v xml:space="preserve">No </v>
      </c>
      <c r="J91" s="10" t="s">
        <v>149</v>
      </c>
      <c r="K91" s="4" t="str">
        <f>TEXT(Table1[[#This Row],[Date Raised]],"mmm-yyyy")</f>
        <v>Mar-2025</v>
      </c>
      <c r="M91" t="str">
        <f>PROPER(Table1[[#This Row],[Assigned Agent]])</f>
        <v>Karan</v>
      </c>
    </row>
    <row r="92" spans="1:13" x14ac:dyDescent="0.35">
      <c r="A92" t="s">
        <v>100</v>
      </c>
      <c r="B92" s="4">
        <v>45728</v>
      </c>
      <c r="C92" t="s">
        <v>111</v>
      </c>
      <c r="D92" t="s">
        <v>120</v>
      </c>
      <c r="E92" t="s">
        <v>122</v>
      </c>
      <c r="F92" t="s">
        <v>129</v>
      </c>
      <c r="G92" t="s">
        <v>131</v>
      </c>
      <c r="H92" s="7">
        <v>39</v>
      </c>
      <c r="I92" t="str">
        <f>IF(Table1[[#This Row],[Resolution Time (hrs)]]&gt;=25,"Yes","No ")</f>
        <v>Yes</v>
      </c>
      <c r="J92" s="10">
        <v>3</v>
      </c>
      <c r="K92" s="4" t="str">
        <f>TEXT(Table1[[#This Row],[Date Raised]],"mmm-yyyy")</f>
        <v>Mar-2025</v>
      </c>
      <c r="M92" t="str">
        <f>PROPER(Table1[[#This Row],[Assigned Agent]])</f>
        <v>Priya</v>
      </c>
    </row>
    <row r="93" spans="1:13" x14ac:dyDescent="0.35">
      <c r="A93" t="s">
        <v>101</v>
      </c>
      <c r="B93" s="4">
        <v>45666</v>
      </c>
      <c r="C93" t="s">
        <v>114</v>
      </c>
      <c r="D93" t="s">
        <v>117</v>
      </c>
      <c r="E93" t="s">
        <v>121</v>
      </c>
      <c r="F93" t="s">
        <v>125</v>
      </c>
      <c r="G93" t="s">
        <v>131</v>
      </c>
      <c r="H93" s="7">
        <v>26</v>
      </c>
      <c r="I93" t="str">
        <f>IF(Table1[[#This Row],[Resolution Time (hrs)]]&gt;=25,"Yes","No ")</f>
        <v>Yes</v>
      </c>
      <c r="J93" s="10">
        <v>4</v>
      </c>
      <c r="K93" s="4" t="str">
        <f>TEXT(Table1[[#This Row],[Date Raised]],"mmm-yyyy")</f>
        <v>Jan-2025</v>
      </c>
      <c r="M93" t="str">
        <f>PROPER(Table1[[#This Row],[Assigned Agent]])</f>
        <v>Karan</v>
      </c>
    </row>
    <row r="94" spans="1:13" x14ac:dyDescent="0.35">
      <c r="A94" t="s">
        <v>102</v>
      </c>
      <c r="B94" s="4">
        <v>45745</v>
      </c>
      <c r="C94" t="s">
        <v>111</v>
      </c>
      <c r="D94" t="s">
        <v>118</v>
      </c>
      <c r="E94" t="s">
        <v>121</v>
      </c>
      <c r="F94" t="s">
        <v>127</v>
      </c>
      <c r="G94" t="s">
        <v>131</v>
      </c>
      <c r="H94" s="7">
        <v>34</v>
      </c>
      <c r="I94" t="str">
        <f>IF(Table1[[#This Row],[Resolution Time (hrs)]]&gt;=25,"Yes","No ")</f>
        <v>Yes</v>
      </c>
      <c r="J94" s="10">
        <v>5</v>
      </c>
      <c r="K94" s="4" t="str">
        <f>TEXT(Table1[[#This Row],[Date Raised]],"mmm-yyyy")</f>
        <v>Mar-2025</v>
      </c>
      <c r="M94" t="str">
        <f>PROPER(Table1[[#This Row],[Assigned Agent]])</f>
        <v>Amit</v>
      </c>
    </row>
    <row r="95" spans="1:13" x14ac:dyDescent="0.35">
      <c r="A95" t="s">
        <v>103</v>
      </c>
      <c r="B95" s="4">
        <v>45786</v>
      </c>
      <c r="C95" t="s">
        <v>115</v>
      </c>
      <c r="D95" t="s">
        <v>120</v>
      </c>
      <c r="E95" t="s">
        <v>122</v>
      </c>
      <c r="F95" t="s">
        <v>125</v>
      </c>
      <c r="G95" t="s">
        <v>131</v>
      </c>
      <c r="H95" s="7">
        <v>3</v>
      </c>
      <c r="I95" t="str">
        <f>IF(Table1[[#This Row],[Resolution Time (hrs)]]&gt;=25,"Yes","No ")</f>
        <v xml:space="preserve">No </v>
      </c>
      <c r="J95" s="10">
        <v>5</v>
      </c>
      <c r="K95" s="4" t="str">
        <f>TEXT(Table1[[#This Row],[Date Raised]],"mmm-yyyy")</f>
        <v>May-2025</v>
      </c>
      <c r="M95" t="str">
        <f>PROPER(Table1[[#This Row],[Assigned Agent]])</f>
        <v>Karan</v>
      </c>
    </row>
    <row r="96" spans="1:13" x14ac:dyDescent="0.35">
      <c r="A96" t="s">
        <v>104</v>
      </c>
      <c r="B96" s="4">
        <v>45793</v>
      </c>
      <c r="C96" t="s">
        <v>111</v>
      </c>
      <c r="D96" t="s">
        <v>116</v>
      </c>
      <c r="E96" t="s">
        <v>123</v>
      </c>
      <c r="F96" t="s">
        <v>128</v>
      </c>
      <c r="G96" t="s">
        <v>131</v>
      </c>
      <c r="H96" s="7">
        <v>12</v>
      </c>
      <c r="I96" t="str">
        <f>IF(Table1[[#This Row],[Resolution Time (hrs)]]&gt;=25,"Yes","No ")</f>
        <v xml:space="preserve">No </v>
      </c>
      <c r="J96" s="10">
        <v>3</v>
      </c>
      <c r="K96" s="4" t="str">
        <f>TEXT(Table1[[#This Row],[Date Raised]],"mmm-yyyy")</f>
        <v>May-2025</v>
      </c>
      <c r="M96" t="str">
        <f>PROPER(Table1[[#This Row],[Assigned Agent]])</f>
        <v>Neha</v>
      </c>
    </row>
    <row r="97" spans="1:13" x14ac:dyDescent="0.35">
      <c r="A97" t="s">
        <v>105</v>
      </c>
      <c r="B97" s="4">
        <v>45720</v>
      </c>
      <c r="C97" t="s">
        <v>113</v>
      </c>
      <c r="D97" t="s">
        <v>117</v>
      </c>
      <c r="E97" t="s">
        <v>121</v>
      </c>
      <c r="F97" t="s">
        <v>124</v>
      </c>
      <c r="G97" t="s">
        <v>131</v>
      </c>
      <c r="H97" s="7">
        <v>1</v>
      </c>
      <c r="I97" t="str">
        <f>IF(Table1[[#This Row],[Resolution Time (hrs)]]&gt;=25,"Yes","No ")</f>
        <v xml:space="preserve">No </v>
      </c>
      <c r="J97" s="10">
        <v>3</v>
      </c>
      <c r="K97" s="4" t="str">
        <f>TEXT(Table1[[#This Row],[Date Raised]],"mmm-yyyy")</f>
        <v>Mar-2025</v>
      </c>
      <c r="M97" t="str">
        <f>PROPER(Table1[[#This Row],[Assigned Agent]])</f>
        <v>Ramesh</v>
      </c>
    </row>
    <row r="98" spans="1:13" x14ac:dyDescent="0.35">
      <c r="A98" t="s">
        <v>106</v>
      </c>
      <c r="B98" s="4">
        <v>45796</v>
      </c>
      <c r="C98" t="s">
        <v>114</v>
      </c>
      <c r="D98" t="s">
        <v>117</v>
      </c>
      <c r="E98" t="s">
        <v>122</v>
      </c>
      <c r="F98" t="s">
        <v>125</v>
      </c>
      <c r="G98" t="s">
        <v>131</v>
      </c>
      <c r="H98" s="7">
        <v>44</v>
      </c>
      <c r="I98" t="str">
        <f>IF(Table1[[#This Row],[Resolution Time (hrs)]]&gt;=25,"Yes","No ")</f>
        <v>Yes</v>
      </c>
      <c r="J98" s="10">
        <v>4</v>
      </c>
      <c r="K98" s="4" t="str">
        <f>TEXT(Table1[[#This Row],[Date Raised]],"mmm-yyyy")</f>
        <v>May-2025</v>
      </c>
      <c r="M98" t="str">
        <f>PROPER(Table1[[#This Row],[Assigned Agent]])</f>
        <v>Karan</v>
      </c>
    </row>
    <row r="99" spans="1:13" x14ac:dyDescent="0.35">
      <c r="A99" t="s">
        <v>107</v>
      </c>
      <c r="B99" s="4">
        <v>45738</v>
      </c>
      <c r="C99" t="s">
        <v>114</v>
      </c>
      <c r="D99" t="s">
        <v>120</v>
      </c>
      <c r="E99" t="s">
        <v>122</v>
      </c>
      <c r="F99" t="s">
        <v>125</v>
      </c>
      <c r="G99" t="s">
        <v>131</v>
      </c>
      <c r="H99" s="7">
        <v>5</v>
      </c>
      <c r="I99" t="str">
        <f>IF(Table1[[#This Row],[Resolution Time (hrs)]]&gt;=25,"Yes","No ")</f>
        <v xml:space="preserve">No </v>
      </c>
      <c r="J99" s="10">
        <v>4</v>
      </c>
      <c r="K99" s="4" t="str">
        <f>TEXT(Table1[[#This Row],[Date Raised]],"mmm-yyyy")</f>
        <v>Mar-2025</v>
      </c>
      <c r="M99" t="str">
        <f>PROPER(Table1[[#This Row],[Assigned Agent]])</f>
        <v>Karan</v>
      </c>
    </row>
    <row r="100" spans="1:13" x14ac:dyDescent="0.35">
      <c r="A100" t="s">
        <v>108</v>
      </c>
      <c r="B100" s="4">
        <v>45793</v>
      </c>
      <c r="C100" t="s">
        <v>115</v>
      </c>
      <c r="D100" t="s">
        <v>116</v>
      </c>
      <c r="E100" t="s">
        <v>122</v>
      </c>
      <c r="F100" t="s">
        <v>124</v>
      </c>
      <c r="G100" t="s">
        <v>131</v>
      </c>
      <c r="H100" s="7">
        <v>30</v>
      </c>
      <c r="I100" t="str">
        <f>IF(Table1[[#This Row],[Resolution Time (hrs)]]&gt;=25,"Yes","No ")</f>
        <v>Yes</v>
      </c>
      <c r="J100" s="10">
        <v>3</v>
      </c>
      <c r="K100" s="4" t="str">
        <f>TEXT(Table1[[#This Row],[Date Raised]],"mmm-yyyy")</f>
        <v>May-2025</v>
      </c>
      <c r="M100" t="str">
        <f>PROPER(Table1[[#This Row],[Assigned Agent]])</f>
        <v>Ramesh</v>
      </c>
    </row>
    <row r="101" spans="1:13" x14ac:dyDescent="0.35">
      <c r="A101" t="s">
        <v>109</v>
      </c>
      <c r="B101" s="4">
        <v>45820</v>
      </c>
      <c r="C101" t="s">
        <v>113</v>
      </c>
      <c r="D101" t="s">
        <v>116</v>
      </c>
      <c r="E101" t="s">
        <v>123</v>
      </c>
      <c r="F101" t="s">
        <v>128</v>
      </c>
      <c r="G101" t="s">
        <v>132</v>
      </c>
      <c r="H101" s="7">
        <v>30</v>
      </c>
      <c r="I101" t="str">
        <f>IF(Table1[[#This Row],[Resolution Time (hrs)]]&gt;=25,"Yes","No ")</f>
        <v>Yes</v>
      </c>
      <c r="J101" s="10" t="s">
        <v>149</v>
      </c>
      <c r="K101" s="4" t="str">
        <f>TEXT(Table1[[#This Row],[Date Raised]],"mmm-yyyy")</f>
        <v>Jun-2025</v>
      </c>
      <c r="M101" t="str">
        <f>PROPER(Table1[[#This Row],[Assigned Agent]])</f>
        <v>Neha</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Department Pivot</vt:lpstr>
      <vt:lpstr>Priority Pivot</vt:lpstr>
      <vt:lpstr>Agent Pivot</vt:lpstr>
      <vt:lpstr>Trends Pivot</vt:lpstr>
      <vt:lpstr>SLA 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melody</dc:creator>
  <cp:lastModifiedBy>Jigisha Karnik</cp:lastModifiedBy>
  <cp:lastPrinted>2026-05-09T17:31:35Z</cp:lastPrinted>
  <dcterms:created xsi:type="dcterms:W3CDTF">2025-10-18T07:27:25Z</dcterms:created>
  <dcterms:modified xsi:type="dcterms:W3CDTF">2026-05-09T17:40:28Z</dcterms:modified>
</cp:coreProperties>
</file>